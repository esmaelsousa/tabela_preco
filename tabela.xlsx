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1001\pedidos\SIDERLON (BA)\"/>
    </mc:Choice>
  </mc:AlternateContent>
  <xr:revisionPtr revIDLastSave="0" documentId="13_ncr:1_{C4EDE706-5A09-4389-B4AB-79FDFA18E1E1}" xr6:coauthVersionLast="47" xr6:coauthVersionMax="47" xr10:uidLastSave="{00000000-0000-0000-0000-000000000000}"/>
  <bookViews>
    <workbookView xWindow="-120" yWindow="-120" windowWidth="29040" windowHeight="15840" xr2:uid="{91E261C8-595B-461B-BEED-F2C428555AD7}"/>
  </bookViews>
  <sheets>
    <sheet name="TAB. BA" sheetId="1" r:id="rId1"/>
  </sheets>
  <definedNames>
    <definedName name="_xlnm._FilterDatabase" localSheetId="0" hidden="1">'TAB. BA'!$A$12:$AA$284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50" i="1" l="1"/>
  <c r="R250" i="1"/>
  <c r="K250" i="1"/>
  <c r="O250" i="1" s="1"/>
  <c r="E250" i="1"/>
  <c r="P250" i="1" s="1"/>
  <c r="T127" i="1"/>
  <c r="R127" i="1"/>
  <c r="K127" i="1"/>
  <c r="O127" i="1" s="1"/>
  <c r="P127" i="1" s="1"/>
  <c r="E127" i="1"/>
  <c r="F250" i="1" l="1"/>
  <c r="S127" i="1"/>
  <c r="F127" i="1"/>
  <c r="T56" i="1" l="1"/>
  <c r="K56" i="1"/>
  <c r="O56" i="1" s="1"/>
  <c r="E56" i="1"/>
  <c r="T55" i="1"/>
  <c r="K55" i="1"/>
  <c r="O55" i="1" s="1"/>
  <c r="E55" i="1"/>
  <c r="T66" i="1"/>
  <c r="K66" i="1"/>
  <c r="O66" i="1" s="1"/>
  <c r="E66" i="1"/>
  <c r="T68" i="1"/>
  <c r="K68" i="1"/>
  <c r="O68" i="1" s="1"/>
  <c r="E68" i="1"/>
  <c r="T34" i="1"/>
  <c r="K34" i="1"/>
  <c r="O34" i="1" s="1"/>
  <c r="E34" i="1"/>
  <c r="T64" i="1"/>
  <c r="T63" i="1"/>
  <c r="E64" i="1"/>
  <c r="R64" i="1" s="1"/>
  <c r="P56" i="1" l="1"/>
  <c r="R56" i="1"/>
  <c r="S56" i="1" s="1"/>
  <c r="P55" i="1"/>
  <c r="R55" i="1"/>
  <c r="S55" i="1" s="1"/>
  <c r="P66" i="1"/>
  <c r="R66" i="1"/>
  <c r="S66" i="1" s="1"/>
  <c r="P68" i="1"/>
  <c r="R68" i="1"/>
  <c r="S68" i="1" s="1"/>
  <c r="P34" i="1"/>
  <c r="R34" i="1"/>
  <c r="S34" i="1" s="1"/>
  <c r="F64" i="1"/>
  <c r="S64" i="1"/>
  <c r="T21" i="1"/>
  <c r="T112" i="1"/>
  <c r="T22" i="1"/>
  <c r="T23" i="1"/>
  <c r="T24" i="1"/>
  <c r="T33" i="1"/>
  <c r="T76" i="1"/>
  <c r="T113" i="1"/>
  <c r="T114" i="1"/>
  <c r="T115" i="1"/>
  <c r="K234" i="1"/>
  <c r="O234" i="1" s="1"/>
  <c r="K235" i="1"/>
  <c r="O235" i="1" s="1"/>
  <c r="K236" i="1"/>
  <c r="O236" i="1" s="1"/>
  <c r="E234" i="1"/>
  <c r="E235" i="1"/>
  <c r="R235" i="1" s="1"/>
  <c r="E236" i="1"/>
  <c r="R236" i="1" s="1"/>
  <c r="T128" i="1"/>
  <c r="T129" i="1"/>
  <c r="K128" i="1"/>
  <c r="O128" i="1" s="1"/>
  <c r="K129" i="1"/>
  <c r="O129" i="1" s="1"/>
  <c r="E128" i="1"/>
  <c r="E129" i="1"/>
  <c r="T93" i="1"/>
  <c r="T94" i="1"/>
  <c r="K93" i="1"/>
  <c r="O93" i="1" s="1"/>
  <c r="K94" i="1"/>
  <c r="O94" i="1" s="1"/>
  <c r="E94" i="1"/>
  <c r="E93" i="1"/>
  <c r="T43" i="1"/>
  <c r="K43" i="1"/>
  <c r="O43" i="1" s="1"/>
  <c r="K44" i="1"/>
  <c r="E43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07" i="1"/>
  <c r="T161" i="1"/>
  <c r="T162" i="1"/>
  <c r="T163" i="1"/>
  <c r="T164" i="1"/>
  <c r="T160" i="1"/>
  <c r="T158" i="1"/>
  <c r="T156" i="1"/>
  <c r="T151" i="1"/>
  <c r="T152" i="1"/>
  <c r="T153" i="1"/>
  <c r="T154" i="1"/>
  <c r="T150" i="1"/>
  <c r="T141" i="1"/>
  <c r="T142" i="1"/>
  <c r="T143" i="1"/>
  <c r="T144" i="1"/>
  <c r="T145" i="1"/>
  <c r="T146" i="1"/>
  <c r="T147" i="1"/>
  <c r="T148" i="1"/>
  <c r="T140" i="1"/>
  <c r="T137" i="1"/>
  <c r="T136" i="1"/>
  <c r="T126" i="1"/>
  <c r="T130" i="1"/>
  <c r="T131" i="1"/>
  <c r="T132" i="1"/>
  <c r="T133" i="1"/>
  <c r="T134" i="1"/>
  <c r="T125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6" i="1"/>
  <c r="T117" i="1"/>
  <c r="T118" i="1"/>
  <c r="T119" i="1"/>
  <c r="T120" i="1"/>
  <c r="T121" i="1"/>
  <c r="T122" i="1"/>
  <c r="T123" i="1"/>
  <c r="T96" i="1"/>
  <c r="T14" i="1"/>
  <c r="T15" i="1"/>
  <c r="T16" i="1"/>
  <c r="T17" i="1"/>
  <c r="T18" i="1"/>
  <c r="T19" i="1"/>
  <c r="T20" i="1"/>
  <c r="T25" i="1"/>
  <c r="T26" i="1"/>
  <c r="T27" i="1"/>
  <c r="T28" i="1"/>
  <c r="T29" i="1"/>
  <c r="T30" i="1"/>
  <c r="T31" i="1"/>
  <c r="T32" i="1"/>
  <c r="T35" i="1"/>
  <c r="T36" i="1"/>
  <c r="T37" i="1"/>
  <c r="T38" i="1"/>
  <c r="T39" i="1"/>
  <c r="T40" i="1"/>
  <c r="T41" i="1"/>
  <c r="T42" i="1"/>
  <c r="T44" i="1"/>
  <c r="T45" i="1"/>
  <c r="T46" i="1"/>
  <c r="T47" i="1"/>
  <c r="T48" i="1"/>
  <c r="T49" i="1"/>
  <c r="T50" i="1"/>
  <c r="T51" i="1"/>
  <c r="T52" i="1"/>
  <c r="T53" i="1"/>
  <c r="T54" i="1"/>
  <c r="T58" i="1"/>
  <c r="T59" i="1"/>
  <c r="T60" i="1"/>
  <c r="T61" i="1"/>
  <c r="T62" i="1"/>
  <c r="T57" i="1"/>
  <c r="T65" i="1"/>
  <c r="T67" i="1"/>
  <c r="T69" i="1"/>
  <c r="T70" i="1"/>
  <c r="T71" i="1"/>
  <c r="T72" i="1"/>
  <c r="T73" i="1"/>
  <c r="T74" i="1"/>
  <c r="T75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13" i="1"/>
  <c r="E252" i="1"/>
  <c r="R252" i="1" s="1"/>
  <c r="E246" i="1"/>
  <c r="R246" i="1" s="1"/>
  <c r="E222" i="1"/>
  <c r="R222" i="1" s="1"/>
  <c r="E150" i="1"/>
  <c r="R150" i="1" s="1"/>
  <c r="E136" i="1"/>
  <c r="R136" i="1" s="1"/>
  <c r="E125" i="1"/>
  <c r="R125" i="1" s="1"/>
  <c r="E97" i="1"/>
  <c r="R97" i="1" s="1"/>
  <c r="E98" i="1"/>
  <c r="R98" i="1" s="1"/>
  <c r="E99" i="1"/>
  <c r="R99" i="1" s="1"/>
  <c r="E100" i="1"/>
  <c r="R100" i="1" s="1"/>
  <c r="E101" i="1"/>
  <c r="R101" i="1" s="1"/>
  <c r="E102" i="1"/>
  <c r="R102" i="1" s="1"/>
  <c r="E103" i="1"/>
  <c r="R103" i="1" s="1"/>
  <c r="E104" i="1"/>
  <c r="R104" i="1" s="1"/>
  <c r="E105" i="1"/>
  <c r="R105" i="1" s="1"/>
  <c r="E106" i="1"/>
  <c r="R106" i="1" s="1"/>
  <c r="E107" i="1"/>
  <c r="R107" i="1" s="1"/>
  <c r="E108" i="1"/>
  <c r="R108" i="1" s="1"/>
  <c r="E109" i="1"/>
  <c r="R109" i="1" s="1"/>
  <c r="E110" i="1"/>
  <c r="R110" i="1" s="1"/>
  <c r="E111" i="1"/>
  <c r="R111" i="1" s="1"/>
  <c r="E112" i="1"/>
  <c r="R112" i="1" s="1"/>
  <c r="E113" i="1"/>
  <c r="R113" i="1" s="1"/>
  <c r="E114" i="1"/>
  <c r="R114" i="1" s="1"/>
  <c r="E115" i="1"/>
  <c r="R115" i="1" s="1"/>
  <c r="E116" i="1"/>
  <c r="R116" i="1" s="1"/>
  <c r="E117" i="1"/>
  <c r="R117" i="1" s="1"/>
  <c r="E118" i="1"/>
  <c r="R118" i="1" s="1"/>
  <c r="E119" i="1"/>
  <c r="R119" i="1" s="1"/>
  <c r="E120" i="1"/>
  <c r="R120" i="1" s="1"/>
  <c r="E121" i="1"/>
  <c r="R121" i="1" s="1"/>
  <c r="E122" i="1"/>
  <c r="R122" i="1" s="1"/>
  <c r="E123" i="1"/>
  <c r="R123" i="1" s="1"/>
  <c r="E96" i="1"/>
  <c r="R96" i="1" s="1"/>
  <c r="E14" i="1"/>
  <c r="R14" i="1" s="1"/>
  <c r="E15" i="1"/>
  <c r="E16" i="1"/>
  <c r="E17" i="1"/>
  <c r="E18" i="1"/>
  <c r="R18" i="1" s="1"/>
  <c r="E19" i="1"/>
  <c r="R19" i="1" s="1"/>
  <c r="E20" i="1"/>
  <c r="R20" i="1" s="1"/>
  <c r="E21" i="1"/>
  <c r="R21" i="1" s="1"/>
  <c r="E22" i="1"/>
  <c r="R22" i="1" s="1"/>
  <c r="E23" i="1"/>
  <c r="R23" i="1" s="1"/>
  <c r="E24" i="1"/>
  <c r="R24" i="1" s="1"/>
  <c r="E25" i="1"/>
  <c r="R25" i="1" s="1"/>
  <c r="E26" i="1"/>
  <c r="R26" i="1" s="1"/>
  <c r="E27" i="1"/>
  <c r="R27" i="1" s="1"/>
  <c r="E28" i="1"/>
  <c r="R28" i="1" s="1"/>
  <c r="E29" i="1"/>
  <c r="R29" i="1" s="1"/>
  <c r="E30" i="1"/>
  <c r="R30" i="1" s="1"/>
  <c r="E31" i="1"/>
  <c r="R31" i="1" s="1"/>
  <c r="E32" i="1"/>
  <c r="R32" i="1" s="1"/>
  <c r="E33" i="1"/>
  <c r="R33" i="1" s="1"/>
  <c r="E35" i="1"/>
  <c r="R35" i="1" s="1"/>
  <c r="E36" i="1"/>
  <c r="R36" i="1" s="1"/>
  <c r="E37" i="1"/>
  <c r="R37" i="1" s="1"/>
  <c r="E38" i="1"/>
  <c r="R38" i="1" s="1"/>
  <c r="E39" i="1"/>
  <c r="R39" i="1" s="1"/>
  <c r="E40" i="1"/>
  <c r="R40" i="1" s="1"/>
  <c r="E41" i="1"/>
  <c r="R41" i="1" s="1"/>
  <c r="E42" i="1"/>
  <c r="R42" i="1" s="1"/>
  <c r="E44" i="1"/>
  <c r="R44" i="1" s="1"/>
  <c r="E45" i="1"/>
  <c r="R45" i="1" s="1"/>
  <c r="E46" i="1"/>
  <c r="R46" i="1" s="1"/>
  <c r="E47" i="1"/>
  <c r="R47" i="1" s="1"/>
  <c r="E48" i="1"/>
  <c r="R48" i="1" s="1"/>
  <c r="E49" i="1"/>
  <c r="R49" i="1" s="1"/>
  <c r="E50" i="1"/>
  <c r="R50" i="1" s="1"/>
  <c r="E51" i="1"/>
  <c r="R51" i="1" s="1"/>
  <c r="E52" i="1"/>
  <c r="R52" i="1" s="1"/>
  <c r="E53" i="1"/>
  <c r="R53" i="1" s="1"/>
  <c r="E54" i="1"/>
  <c r="R54" i="1" s="1"/>
  <c r="E58" i="1"/>
  <c r="R58" i="1" s="1"/>
  <c r="E59" i="1"/>
  <c r="R59" i="1" s="1"/>
  <c r="E60" i="1"/>
  <c r="R60" i="1" s="1"/>
  <c r="E61" i="1"/>
  <c r="R61" i="1" s="1"/>
  <c r="E62" i="1"/>
  <c r="R62" i="1" s="1"/>
  <c r="E57" i="1"/>
  <c r="R57" i="1" s="1"/>
  <c r="E63" i="1"/>
  <c r="R63" i="1" s="1"/>
  <c r="E65" i="1"/>
  <c r="R65" i="1" s="1"/>
  <c r="E67" i="1"/>
  <c r="R67" i="1" s="1"/>
  <c r="E69" i="1"/>
  <c r="R69" i="1" s="1"/>
  <c r="E70" i="1"/>
  <c r="R70" i="1" s="1"/>
  <c r="E71" i="1"/>
  <c r="R71" i="1" s="1"/>
  <c r="E72" i="1"/>
  <c r="R72" i="1" s="1"/>
  <c r="E73" i="1"/>
  <c r="R73" i="1" s="1"/>
  <c r="E74" i="1"/>
  <c r="R74" i="1" s="1"/>
  <c r="E76" i="1"/>
  <c r="R76" i="1" s="1"/>
  <c r="F76" i="1" s="1"/>
  <c r="E75" i="1"/>
  <c r="R75" i="1" s="1"/>
  <c r="E77" i="1"/>
  <c r="R77" i="1" s="1"/>
  <c r="E78" i="1"/>
  <c r="R78" i="1" s="1"/>
  <c r="E79" i="1"/>
  <c r="R79" i="1" s="1"/>
  <c r="E80" i="1"/>
  <c r="R80" i="1" s="1"/>
  <c r="E81" i="1"/>
  <c r="R81" i="1" s="1"/>
  <c r="E82" i="1"/>
  <c r="R82" i="1" s="1"/>
  <c r="E83" i="1"/>
  <c r="R83" i="1" s="1"/>
  <c r="E84" i="1"/>
  <c r="R84" i="1" s="1"/>
  <c r="E85" i="1"/>
  <c r="R85" i="1" s="1"/>
  <c r="E86" i="1"/>
  <c r="R86" i="1" s="1"/>
  <c r="E87" i="1"/>
  <c r="R87" i="1" s="1"/>
  <c r="E88" i="1"/>
  <c r="R88" i="1" s="1"/>
  <c r="E89" i="1"/>
  <c r="R89" i="1" s="1"/>
  <c r="E90" i="1"/>
  <c r="R90" i="1" s="1"/>
  <c r="E91" i="1"/>
  <c r="R91" i="1" s="1"/>
  <c r="E92" i="1"/>
  <c r="R92" i="1" s="1"/>
  <c r="E13" i="1"/>
  <c r="R15" i="1"/>
  <c r="R16" i="1"/>
  <c r="R17" i="1"/>
  <c r="K225" i="1"/>
  <c r="O225" i="1" s="1"/>
  <c r="E225" i="1"/>
  <c r="R225" i="1" s="1"/>
  <c r="E253" i="1"/>
  <c r="R253" i="1" s="1"/>
  <c r="K253" i="1"/>
  <c r="O253" i="1" s="1"/>
  <c r="E254" i="1"/>
  <c r="R254" i="1" s="1"/>
  <c r="K254" i="1"/>
  <c r="O254" i="1" s="1"/>
  <c r="E255" i="1"/>
  <c r="R255" i="1" s="1"/>
  <c r="K255" i="1"/>
  <c r="O255" i="1" s="1"/>
  <c r="E256" i="1"/>
  <c r="R256" i="1" s="1"/>
  <c r="K256" i="1"/>
  <c r="O256" i="1" s="1"/>
  <c r="E257" i="1"/>
  <c r="R257" i="1" s="1"/>
  <c r="K257" i="1"/>
  <c r="O257" i="1" s="1"/>
  <c r="E258" i="1"/>
  <c r="R258" i="1" s="1"/>
  <c r="K258" i="1"/>
  <c r="O258" i="1" s="1"/>
  <c r="E259" i="1"/>
  <c r="R259" i="1" s="1"/>
  <c r="K259" i="1"/>
  <c r="O259" i="1" s="1"/>
  <c r="E260" i="1"/>
  <c r="R260" i="1" s="1"/>
  <c r="K260" i="1"/>
  <c r="O260" i="1" s="1"/>
  <c r="E261" i="1"/>
  <c r="R261" i="1" s="1"/>
  <c r="K261" i="1"/>
  <c r="O261" i="1" s="1"/>
  <c r="E262" i="1"/>
  <c r="R262" i="1" s="1"/>
  <c r="K262" i="1"/>
  <c r="O262" i="1" s="1"/>
  <c r="E263" i="1"/>
  <c r="R263" i="1" s="1"/>
  <c r="K263" i="1"/>
  <c r="O263" i="1" s="1"/>
  <c r="E264" i="1"/>
  <c r="R264" i="1" s="1"/>
  <c r="K264" i="1"/>
  <c r="O264" i="1" s="1"/>
  <c r="E265" i="1"/>
  <c r="R265" i="1" s="1"/>
  <c r="K265" i="1"/>
  <c r="O265" i="1" s="1"/>
  <c r="E266" i="1"/>
  <c r="R266" i="1" s="1"/>
  <c r="K266" i="1"/>
  <c r="O266" i="1" s="1"/>
  <c r="E267" i="1"/>
  <c r="R267" i="1" s="1"/>
  <c r="K267" i="1"/>
  <c r="O267" i="1" s="1"/>
  <c r="E268" i="1"/>
  <c r="R268" i="1" s="1"/>
  <c r="K268" i="1"/>
  <c r="O268" i="1" s="1"/>
  <c r="E269" i="1"/>
  <c r="R269" i="1" s="1"/>
  <c r="K269" i="1"/>
  <c r="O269" i="1" s="1"/>
  <c r="E270" i="1"/>
  <c r="R270" i="1" s="1"/>
  <c r="K270" i="1"/>
  <c r="O270" i="1" s="1"/>
  <c r="E271" i="1"/>
  <c r="R271" i="1" s="1"/>
  <c r="K271" i="1"/>
  <c r="O271" i="1" s="1"/>
  <c r="E272" i="1"/>
  <c r="R272" i="1" s="1"/>
  <c r="K272" i="1"/>
  <c r="O272" i="1" s="1"/>
  <c r="E273" i="1"/>
  <c r="K273" i="1"/>
  <c r="O273" i="1" s="1"/>
  <c r="E274" i="1"/>
  <c r="R274" i="1" s="1"/>
  <c r="K274" i="1"/>
  <c r="O274" i="1" s="1"/>
  <c r="E275" i="1"/>
  <c r="R275" i="1" s="1"/>
  <c r="K275" i="1"/>
  <c r="O275" i="1" s="1"/>
  <c r="E276" i="1"/>
  <c r="R276" i="1" s="1"/>
  <c r="K276" i="1"/>
  <c r="O276" i="1" s="1"/>
  <c r="E277" i="1"/>
  <c r="R277" i="1" s="1"/>
  <c r="K277" i="1"/>
  <c r="O277" i="1" s="1"/>
  <c r="E278" i="1"/>
  <c r="R278" i="1" s="1"/>
  <c r="K278" i="1"/>
  <c r="O278" i="1" s="1"/>
  <c r="E279" i="1"/>
  <c r="R279" i="1" s="1"/>
  <c r="K279" i="1"/>
  <c r="O279" i="1" s="1"/>
  <c r="E280" i="1"/>
  <c r="R280" i="1" s="1"/>
  <c r="K280" i="1"/>
  <c r="O280" i="1" s="1"/>
  <c r="E281" i="1"/>
  <c r="K281" i="1"/>
  <c r="O281" i="1" s="1"/>
  <c r="K252" i="1"/>
  <c r="O252" i="1" s="1"/>
  <c r="K58" i="1"/>
  <c r="O58" i="1" s="1"/>
  <c r="K59" i="1"/>
  <c r="O59" i="1" s="1"/>
  <c r="K60" i="1"/>
  <c r="O60" i="1" s="1"/>
  <c r="K61" i="1"/>
  <c r="O61" i="1" s="1"/>
  <c r="K33" i="1"/>
  <c r="O33" i="1" s="1"/>
  <c r="K76" i="1"/>
  <c r="O76" i="1" s="1"/>
  <c r="K229" i="1"/>
  <c r="O229" i="1" s="1"/>
  <c r="E229" i="1"/>
  <c r="R229" i="1" s="1"/>
  <c r="E181" i="1"/>
  <c r="R181" i="1" s="1"/>
  <c r="K181" i="1"/>
  <c r="O181" i="1" s="1"/>
  <c r="T181" i="1"/>
  <c r="T187" i="1"/>
  <c r="T188" i="1"/>
  <c r="T189" i="1"/>
  <c r="K187" i="1"/>
  <c r="O187" i="1" s="1"/>
  <c r="K188" i="1"/>
  <c r="O188" i="1" s="1"/>
  <c r="K189" i="1"/>
  <c r="O189" i="1" s="1"/>
  <c r="E189" i="1"/>
  <c r="E188" i="1"/>
  <c r="R188" i="1" s="1"/>
  <c r="E187" i="1"/>
  <c r="E203" i="1"/>
  <c r="R203" i="1" s="1"/>
  <c r="E204" i="1"/>
  <c r="R204" i="1" s="1"/>
  <c r="E205" i="1"/>
  <c r="R205" i="1" s="1"/>
  <c r="K203" i="1"/>
  <c r="O203" i="1" s="1"/>
  <c r="K204" i="1"/>
  <c r="O204" i="1" s="1"/>
  <c r="T203" i="1"/>
  <c r="T204" i="1"/>
  <c r="T174" i="1"/>
  <c r="T175" i="1"/>
  <c r="K174" i="1"/>
  <c r="O174" i="1" s="1"/>
  <c r="K175" i="1"/>
  <c r="O175" i="1" s="1"/>
  <c r="E174" i="1"/>
  <c r="R174" i="1" s="1"/>
  <c r="E175" i="1"/>
  <c r="R175" i="1" s="1"/>
  <c r="K152" i="1"/>
  <c r="O152" i="1" s="1"/>
  <c r="K153" i="1"/>
  <c r="O153" i="1" s="1"/>
  <c r="E152" i="1"/>
  <c r="R152" i="1" s="1"/>
  <c r="E153" i="1"/>
  <c r="R153" i="1" s="1"/>
  <c r="K249" i="1"/>
  <c r="O249" i="1" s="1"/>
  <c r="E249" i="1"/>
  <c r="R249" i="1" s="1"/>
  <c r="F56" i="1" l="1"/>
  <c r="F55" i="1"/>
  <c r="F66" i="1"/>
  <c r="F68" i="1"/>
  <c r="F34" i="1"/>
  <c r="P129" i="1"/>
  <c r="P234" i="1"/>
  <c r="P93" i="1"/>
  <c r="P128" i="1"/>
  <c r="P235" i="1"/>
  <c r="R234" i="1"/>
  <c r="F234" i="1" s="1"/>
  <c r="P94" i="1"/>
  <c r="S59" i="1"/>
  <c r="S58" i="1"/>
  <c r="S236" i="1"/>
  <c r="S235" i="1"/>
  <c r="F235" i="1"/>
  <c r="P236" i="1"/>
  <c r="P43" i="1"/>
  <c r="R93" i="1"/>
  <c r="F93" i="1" s="1"/>
  <c r="R129" i="1"/>
  <c r="F129" i="1" s="1"/>
  <c r="R43" i="1"/>
  <c r="F43" i="1" s="1"/>
  <c r="R94" i="1"/>
  <c r="S94" i="1" s="1"/>
  <c r="R128" i="1"/>
  <c r="S128" i="1" s="1"/>
  <c r="S61" i="1"/>
  <c r="S60" i="1"/>
  <c r="F98" i="1"/>
  <c r="R187" i="1"/>
  <c r="F187" i="1" s="1"/>
  <c r="R281" i="1"/>
  <c r="F281" i="1" s="1"/>
  <c r="R13" i="1"/>
  <c r="F14" i="1"/>
  <c r="R273" i="1"/>
  <c r="S273" i="1" s="1"/>
  <c r="F229" i="1"/>
  <c r="R189" i="1"/>
  <c r="S189" i="1" s="1"/>
  <c r="F204" i="1"/>
  <c r="F265" i="1"/>
  <c r="F257" i="1"/>
  <c r="F276" i="1"/>
  <c r="F268" i="1"/>
  <c r="F260" i="1"/>
  <c r="S261" i="1"/>
  <c r="P266" i="1"/>
  <c r="F61" i="1"/>
  <c r="F60" i="1"/>
  <c r="F58" i="1"/>
  <c r="F59" i="1"/>
  <c r="F33" i="1"/>
  <c r="P280" i="1"/>
  <c r="S277" i="1"/>
  <c r="P265" i="1"/>
  <c r="P275" i="1"/>
  <c r="P59" i="1"/>
  <c r="P257" i="1"/>
  <c r="P281" i="1"/>
  <c r="P33" i="1"/>
  <c r="P60" i="1"/>
  <c r="P58" i="1"/>
  <c r="P61" i="1"/>
  <c r="P258" i="1"/>
  <c r="P273" i="1"/>
  <c r="P263" i="1"/>
  <c r="S76" i="1"/>
  <c r="P267" i="1"/>
  <c r="P259" i="1"/>
  <c r="S274" i="1"/>
  <c r="S267" i="1"/>
  <c r="P274" i="1"/>
  <c r="F269" i="1"/>
  <c r="F266" i="1"/>
  <c r="F261" i="1"/>
  <c r="S258" i="1"/>
  <c r="P225" i="1"/>
  <c r="S225" i="1"/>
  <c r="S275" i="1"/>
  <c r="F277" i="1"/>
  <c r="S259" i="1"/>
  <c r="S253" i="1"/>
  <c r="F253" i="1"/>
  <c r="P255" i="1"/>
  <c r="P260" i="1"/>
  <c r="S260" i="1"/>
  <c r="S269" i="1"/>
  <c r="P272" i="1"/>
  <c r="P276" i="1"/>
  <c r="S276" i="1"/>
  <c r="P264" i="1"/>
  <c r="P279" i="1"/>
  <c r="P271" i="1"/>
  <c r="S268" i="1"/>
  <c r="P268" i="1"/>
  <c r="P256" i="1"/>
  <c r="F278" i="1"/>
  <c r="P277" i="1"/>
  <c r="F270" i="1"/>
  <c r="P269" i="1"/>
  <c r="F262" i="1"/>
  <c r="P261" i="1"/>
  <c r="S254" i="1"/>
  <c r="P253" i="1"/>
  <c r="F279" i="1"/>
  <c r="P278" i="1"/>
  <c r="F275" i="1"/>
  <c r="F271" i="1"/>
  <c r="P270" i="1"/>
  <c r="F267" i="1"/>
  <c r="F263" i="1"/>
  <c r="P262" i="1"/>
  <c r="F259" i="1"/>
  <c r="F255" i="1"/>
  <c r="P254" i="1"/>
  <c r="F280" i="1"/>
  <c r="S272" i="1"/>
  <c r="S265" i="1"/>
  <c r="F264" i="1"/>
  <c r="S257" i="1"/>
  <c r="S256" i="1"/>
  <c r="S281" i="1"/>
  <c r="P252" i="1"/>
  <c r="S252" i="1"/>
  <c r="S175" i="1"/>
  <c r="P76" i="1"/>
  <c r="P175" i="1"/>
  <c r="P229" i="1"/>
  <c r="S152" i="1"/>
  <c r="S174" i="1"/>
  <c r="S153" i="1"/>
  <c r="F175" i="1"/>
  <c r="P203" i="1"/>
  <c r="P189" i="1"/>
  <c r="P174" i="1"/>
  <c r="P152" i="1"/>
  <c r="P188" i="1"/>
  <c r="P153" i="1"/>
  <c r="F203" i="1"/>
  <c r="F188" i="1"/>
  <c r="F152" i="1"/>
  <c r="P204" i="1"/>
  <c r="P187" i="1"/>
  <c r="F181" i="1"/>
  <c r="P181" i="1"/>
  <c r="S204" i="1"/>
  <c r="S203" i="1"/>
  <c r="P249" i="1"/>
  <c r="S249" i="1"/>
  <c r="K248" i="1"/>
  <c r="O248" i="1" s="1"/>
  <c r="E248" i="1"/>
  <c r="R248" i="1" s="1"/>
  <c r="S234" i="1" l="1"/>
  <c r="S93" i="1"/>
  <c r="F128" i="1"/>
  <c r="F94" i="1"/>
  <c r="S129" i="1"/>
  <c r="F189" i="1"/>
  <c r="S43" i="1"/>
  <c r="F273" i="1"/>
  <c r="F13" i="1"/>
  <c r="S33" i="1"/>
  <c r="F258" i="1"/>
  <c r="S280" i="1"/>
  <c r="S264" i="1"/>
  <c r="S262" i="1"/>
  <c r="S266" i="1"/>
  <c r="F274" i="1"/>
  <c r="F225" i="1"/>
  <c r="F254" i="1"/>
  <c r="S271" i="1"/>
  <c r="S270" i="1"/>
  <c r="F256" i="1"/>
  <c r="S255" i="1"/>
  <c r="F272" i="1"/>
  <c r="S279" i="1"/>
  <c r="S278" i="1"/>
  <c r="S263" i="1"/>
  <c r="F252" i="1"/>
  <c r="F174" i="1"/>
  <c r="F153" i="1"/>
  <c r="S181" i="1"/>
  <c r="S187" i="1"/>
  <c r="S188" i="1"/>
  <c r="F249" i="1"/>
  <c r="P248" i="1"/>
  <c r="F248" i="1"/>
  <c r="K74" i="1"/>
  <c r="O74" i="1" s="1"/>
  <c r="K247" i="1"/>
  <c r="O247" i="1" s="1"/>
  <c r="F15" i="1"/>
  <c r="F20" i="1"/>
  <c r="F28" i="1"/>
  <c r="F38" i="1"/>
  <c r="F41" i="1"/>
  <c r="F45" i="1"/>
  <c r="F47" i="1"/>
  <c r="F53" i="1"/>
  <c r="F54" i="1"/>
  <c r="F72" i="1"/>
  <c r="F73" i="1"/>
  <c r="F80" i="1"/>
  <c r="F81" i="1"/>
  <c r="F89" i="1"/>
  <c r="F99" i="1"/>
  <c r="F107" i="1"/>
  <c r="F113" i="1"/>
  <c r="F114" i="1"/>
  <c r="F115" i="1"/>
  <c r="F123" i="1"/>
  <c r="E126" i="1"/>
  <c r="E130" i="1"/>
  <c r="R130" i="1" s="1"/>
  <c r="E131" i="1"/>
  <c r="R131" i="1" s="1"/>
  <c r="E132" i="1"/>
  <c r="R132" i="1" s="1"/>
  <c r="E133" i="1"/>
  <c r="E134" i="1"/>
  <c r="E137" i="1"/>
  <c r="E140" i="1"/>
  <c r="R140" i="1" s="1"/>
  <c r="E141" i="1"/>
  <c r="R141" i="1" s="1"/>
  <c r="E142" i="1"/>
  <c r="R142" i="1" s="1"/>
  <c r="E143" i="1"/>
  <c r="R143" i="1" s="1"/>
  <c r="E144" i="1"/>
  <c r="R144" i="1" s="1"/>
  <c r="E145" i="1"/>
  <c r="R145" i="1" s="1"/>
  <c r="E146" i="1"/>
  <c r="E147" i="1"/>
  <c r="R147" i="1" s="1"/>
  <c r="E148" i="1"/>
  <c r="R148" i="1" s="1"/>
  <c r="F150" i="1"/>
  <c r="E151" i="1"/>
  <c r="R151" i="1" s="1"/>
  <c r="E154" i="1"/>
  <c r="R154" i="1" s="1"/>
  <c r="E156" i="1"/>
  <c r="R156" i="1" s="1"/>
  <c r="E158" i="1"/>
  <c r="R158" i="1" s="1"/>
  <c r="E160" i="1"/>
  <c r="E161" i="1"/>
  <c r="R161" i="1" s="1"/>
  <c r="E162" i="1"/>
  <c r="R162" i="1" s="1"/>
  <c r="E163" i="1"/>
  <c r="R163" i="1" s="1"/>
  <c r="E164" i="1"/>
  <c r="R164" i="1" s="1"/>
  <c r="E166" i="1"/>
  <c r="R166" i="1" s="1"/>
  <c r="E167" i="1"/>
  <c r="R167" i="1" s="1"/>
  <c r="E169" i="1"/>
  <c r="R169" i="1" s="1"/>
  <c r="E171" i="1"/>
  <c r="R171" i="1" s="1"/>
  <c r="E173" i="1"/>
  <c r="R173" i="1" s="1"/>
  <c r="E176" i="1"/>
  <c r="R176" i="1" s="1"/>
  <c r="E178" i="1"/>
  <c r="E180" i="1"/>
  <c r="R180" i="1" s="1"/>
  <c r="E182" i="1"/>
  <c r="R182" i="1" s="1"/>
  <c r="E184" i="1"/>
  <c r="R184" i="1" s="1"/>
  <c r="E185" i="1"/>
  <c r="R185" i="1" s="1"/>
  <c r="E191" i="1"/>
  <c r="E193" i="1"/>
  <c r="R193" i="1" s="1"/>
  <c r="E194" i="1"/>
  <c r="R194" i="1" s="1"/>
  <c r="E195" i="1"/>
  <c r="R195" i="1" s="1"/>
  <c r="E196" i="1"/>
  <c r="R196" i="1" s="1"/>
  <c r="E198" i="1"/>
  <c r="R198" i="1" s="1"/>
  <c r="E200" i="1"/>
  <c r="R200" i="1" s="1"/>
  <c r="E201" i="1"/>
  <c r="R201" i="1" s="1"/>
  <c r="E202" i="1"/>
  <c r="R202" i="1" s="1"/>
  <c r="E207" i="1"/>
  <c r="R207" i="1" s="1"/>
  <c r="E208" i="1"/>
  <c r="R208" i="1" s="1"/>
  <c r="E209" i="1"/>
  <c r="R209" i="1" s="1"/>
  <c r="E210" i="1"/>
  <c r="E211" i="1"/>
  <c r="R211" i="1" s="1"/>
  <c r="E212" i="1"/>
  <c r="R212" i="1" s="1"/>
  <c r="E213" i="1"/>
  <c r="E214" i="1"/>
  <c r="R214" i="1" s="1"/>
  <c r="E215" i="1"/>
  <c r="R215" i="1" s="1"/>
  <c r="E216" i="1"/>
  <c r="R216" i="1" s="1"/>
  <c r="E217" i="1"/>
  <c r="R217" i="1" s="1"/>
  <c r="E218" i="1"/>
  <c r="R218" i="1" s="1"/>
  <c r="E219" i="1"/>
  <c r="R219" i="1" s="1"/>
  <c r="E220" i="1"/>
  <c r="R220" i="1" s="1"/>
  <c r="E221" i="1"/>
  <c r="F222" i="1"/>
  <c r="E223" i="1"/>
  <c r="R223" i="1" s="1"/>
  <c r="E226" i="1"/>
  <c r="R226" i="1" s="1"/>
  <c r="E227" i="1"/>
  <c r="R227" i="1" s="1"/>
  <c r="E228" i="1"/>
  <c r="R228" i="1" s="1"/>
  <c r="E230" i="1"/>
  <c r="E231" i="1"/>
  <c r="E232" i="1"/>
  <c r="R232" i="1" s="1"/>
  <c r="E233" i="1"/>
  <c r="F236" i="1"/>
  <c r="E237" i="1"/>
  <c r="R237" i="1" s="1"/>
  <c r="E238" i="1"/>
  <c r="E239" i="1"/>
  <c r="R239" i="1" s="1"/>
  <c r="E240" i="1"/>
  <c r="E241" i="1"/>
  <c r="R241" i="1" s="1"/>
  <c r="E242" i="1"/>
  <c r="R242" i="1" s="1"/>
  <c r="E243" i="1"/>
  <c r="R243" i="1" s="1"/>
  <c r="E244" i="1"/>
  <c r="R244" i="1" s="1"/>
  <c r="E245" i="1"/>
  <c r="R245" i="1" s="1"/>
  <c r="E247" i="1"/>
  <c r="R247" i="1" s="1"/>
  <c r="E284" i="1" l="1"/>
  <c r="R231" i="1"/>
  <c r="F231" i="1" s="1"/>
  <c r="R133" i="1"/>
  <c r="F133" i="1" s="1"/>
  <c r="R221" i="1"/>
  <c r="F221" i="1" s="1"/>
  <c r="R210" i="1"/>
  <c r="F210" i="1" s="1"/>
  <c r="R178" i="1"/>
  <c r="F178" i="1" s="1"/>
  <c r="R126" i="1"/>
  <c r="F126" i="1" s="1"/>
  <c r="R238" i="1"/>
  <c r="F238" i="1" s="1"/>
  <c r="R213" i="1"/>
  <c r="F213" i="1" s="1"/>
  <c r="R230" i="1"/>
  <c r="F230" i="1" s="1"/>
  <c r="R137" i="1"/>
  <c r="F137" i="1" s="1"/>
  <c r="R240" i="1"/>
  <c r="F240" i="1" s="1"/>
  <c r="R233" i="1"/>
  <c r="F233" i="1" s="1"/>
  <c r="R191" i="1"/>
  <c r="F191" i="1" s="1"/>
  <c r="R160" i="1"/>
  <c r="F160" i="1" s="1"/>
  <c r="R146" i="1"/>
  <c r="F146" i="1" s="1"/>
  <c r="R134" i="1"/>
  <c r="F134" i="1" s="1"/>
  <c r="F57" i="1"/>
  <c r="F154" i="1"/>
  <c r="F176" i="1"/>
  <c r="F243" i="1"/>
  <c r="F83" i="1"/>
  <c r="F200" i="1"/>
  <c r="S248" i="1"/>
  <c r="F125" i="1"/>
  <c r="F105" i="1"/>
  <c r="F184" i="1"/>
  <c r="F78" i="1"/>
  <c r="F232" i="1"/>
  <c r="F102" i="1"/>
  <c r="F219" i="1"/>
  <c r="F97" i="1"/>
  <c r="F212" i="1"/>
  <c r="F35" i="1"/>
  <c r="F245" i="1"/>
  <c r="F167" i="1"/>
  <c r="F96" i="1"/>
  <c r="F32" i="1"/>
  <c r="F156" i="1"/>
  <c r="F86" i="1"/>
  <c r="F242" i="1"/>
  <c r="F44" i="1"/>
  <c r="F144" i="1"/>
  <c r="F201" i="1"/>
  <c r="F162" i="1"/>
  <c r="F122" i="1"/>
  <c r="F69" i="1"/>
  <c r="F237" i="1"/>
  <c r="F143" i="1"/>
  <c r="F112" i="1"/>
  <c r="F67" i="1"/>
  <c r="F16" i="1"/>
  <c r="F120" i="1"/>
  <c r="F166" i="1"/>
  <c r="F85" i="1"/>
  <c r="F51" i="1"/>
  <c r="F218" i="1"/>
  <c r="F244" i="1"/>
  <c r="F226" i="1"/>
  <c r="F217" i="1"/>
  <c r="F209" i="1"/>
  <c r="F196" i="1"/>
  <c r="F180" i="1"/>
  <c r="F164" i="1"/>
  <c r="F151" i="1"/>
  <c r="F142" i="1"/>
  <c r="F131" i="1"/>
  <c r="F111" i="1"/>
  <c r="F92" i="1"/>
  <c r="F84" i="1"/>
  <c r="F75" i="1"/>
  <c r="F65" i="1"/>
  <c r="F148" i="1"/>
  <c r="F90" i="1"/>
  <c r="F50" i="1"/>
  <c r="F24" i="1"/>
  <c r="F71" i="1"/>
  <c r="F198" i="1"/>
  <c r="F104" i="1"/>
  <c r="F207" i="1"/>
  <c r="F194" i="1"/>
  <c r="F117" i="1"/>
  <c r="F101" i="1"/>
  <c r="F82" i="1"/>
  <c r="F62" i="1"/>
  <c r="F48" i="1"/>
  <c r="F39" i="1"/>
  <c r="F29" i="1"/>
  <c r="F182" i="1"/>
  <c r="F140" i="1"/>
  <c r="F77" i="1"/>
  <c r="F42" i="1"/>
  <c r="F21" i="1"/>
  <c r="F241" i="1"/>
  <c r="F220" i="1"/>
  <c r="F211" i="1"/>
  <c r="F163" i="1"/>
  <c r="F147" i="1"/>
  <c r="F136" i="1"/>
  <c r="F121" i="1"/>
  <c r="F91" i="1"/>
  <c r="F70" i="1"/>
  <c r="F52" i="1"/>
  <c r="F63" i="1"/>
  <c r="F49" i="1"/>
  <c r="F40" i="1"/>
  <c r="F30" i="1"/>
  <c r="F22" i="1"/>
  <c r="S247" i="1"/>
  <c r="F247" i="1"/>
  <c r="F239" i="1"/>
  <c r="F228" i="1"/>
  <c r="F208" i="1"/>
  <c r="F195" i="1"/>
  <c r="F173" i="1"/>
  <c r="F161" i="1"/>
  <c r="F145" i="1"/>
  <c r="F110" i="1"/>
  <c r="F88" i="1"/>
  <c r="F79" i="1"/>
  <c r="F19" i="1"/>
  <c r="F246" i="1"/>
  <c r="F216" i="1"/>
  <c r="F171" i="1"/>
  <c r="F158" i="1"/>
  <c r="F118" i="1"/>
  <c r="F100" i="1"/>
  <c r="F87" i="1"/>
  <c r="F27" i="1"/>
  <c r="F18" i="1"/>
  <c r="F214" i="1"/>
  <c r="F205" i="1"/>
  <c r="F193" i="1"/>
  <c r="F116" i="1"/>
  <c r="F108" i="1"/>
  <c r="F46" i="1"/>
  <c r="F169" i="1"/>
  <c r="F130" i="1"/>
  <c r="F26" i="1"/>
  <c r="F17" i="1"/>
  <c r="P247" i="1"/>
  <c r="F202" i="1"/>
  <c r="F36" i="1"/>
  <c r="F185" i="1"/>
  <c r="F141" i="1"/>
  <c r="F106" i="1"/>
  <c r="F25" i="1"/>
  <c r="P74" i="1"/>
  <c r="S74" i="1"/>
  <c r="F284" i="1" l="1"/>
  <c r="F31" i="1"/>
  <c r="F223" i="1"/>
  <c r="K243" i="1"/>
  <c r="O243" i="1" s="1"/>
  <c r="F119" i="1"/>
  <c r="F227" i="1"/>
  <c r="F215" i="1"/>
  <c r="F23" i="1"/>
  <c r="F103" i="1"/>
  <c r="F132" i="1"/>
  <c r="F109" i="1"/>
  <c r="F37" i="1"/>
  <c r="F74" i="1"/>
  <c r="T166" i="1"/>
  <c r="T167" i="1"/>
  <c r="T169" i="1"/>
  <c r="T171" i="1"/>
  <c r="T173" i="1"/>
  <c r="T176" i="1"/>
  <c r="T178" i="1"/>
  <c r="T180" i="1"/>
  <c r="T182" i="1"/>
  <c r="T184" i="1"/>
  <c r="T185" i="1"/>
  <c r="T191" i="1"/>
  <c r="T193" i="1"/>
  <c r="T194" i="1"/>
  <c r="T195" i="1"/>
  <c r="T196" i="1"/>
  <c r="T198" i="1"/>
  <c r="T200" i="1"/>
  <c r="T201" i="1"/>
  <c r="T202" i="1"/>
  <c r="T205" i="1"/>
  <c r="Q284" i="1" l="1"/>
  <c r="P243" i="1"/>
  <c r="S243" i="1"/>
  <c r="K232" i="1"/>
  <c r="O232" i="1" s="1"/>
  <c r="P232" i="1" l="1"/>
  <c r="S232" i="1"/>
  <c r="K13" i="1"/>
  <c r="O13" i="1" s="1"/>
  <c r="P13" i="1" l="1"/>
  <c r="S13" i="1"/>
  <c r="K101" i="1" l="1"/>
  <c r="O101" i="1" s="1"/>
  <c r="P101" i="1" l="1"/>
  <c r="S101" i="1"/>
  <c r="K121" i="1"/>
  <c r="O121" i="1" s="1"/>
  <c r="K109" i="1"/>
  <c r="O109" i="1" s="1"/>
  <c r="P109" i="1" l="1"/>
  <c r="S109" i="1"/>
  <c r="P121" i="1"/>
  <c r="S121" i="1"/>
  <c r="K54" i="1" l="1"/>
  <c r="O54" i="1" s="1"/>
  <c r="S54" i="1" s="1"/>
  <c r="P54" i="1" l="1"/>
  <c r="K228" i="1"/>
  <c r="O228" i="1" s="1"/>
  <c r="K239" i="1"/>
  <c r="O239" i="1" s="1"/>
  <c r="K227" i="1"/>
  <c r="O227" i="1" s="1"/>
  <c r="K231" i="1"/>
  <c r="O231" i="1" s="1"/>
  <c r="K230" i="1"/>
  <c r="O230" i="1" s="1"/>
  <c r="K246" i="1"/>
  <c r="O246" i="1" s="1"/>
  <c r="K237" i="1"/>
  <c r="O237" i="1" s="1"/>
  <c r="K245" i="1"/>
  <c r="O245" i="1" s="1"/>
  <c r="K240" i="1"/>
  <c r="O240" i="1" s="1"/>
  <c r="K238" i="1"/>
  <c r="O238" i="1" s="1"/>
  <c r="K244" i="1"/>
  <c r="O244" i="1" s="1"/>
  <c r="K226" i="1"/>
  <c r="O226" i="1" s="1"/>
  <c r="K241" i="1"/>
  <c r="O241" i="1" s="1"/>
  <c r="K233" i="1"/>
  <c r="O233" i="1" s="1"/>
  <c r="K242" i="1"/>
  <c r="O242" i="1" s="1"/>
  <c r="P226" i="1" l="1"/>
  <c r="S226" i="1"/>
  <c r="P233" i="1"/>
  <c r="S233" i="1"/>
  <c r="P245" i="1"/>
  <c r="S245" i="1"/>
  <c r="P238" i="1"/>
  <c r="S238" i="1"/>
  <c r="P237" i="1"/>
  <c r="S237" i="1"/>
  <c r="P241" i="1"/>
  <c r="S241" i="1"/>
  <c r="P239" i="1"/>
  <c r="S239" i="1"/>
  <c r="P240" i="1"/>
  <c r="S240" i="1"/>
  <c r="P242" i="1"/>
  <c r="S242" i="1"/>
  <c r="P244" i="1"/>
  <c r="S244" i="1"/>
  <c r="P228" i="1"/>
  <c r="S228" i="1"/>
  <c r="P246" i="1"/>
  <c r="S246" i="1"/>
  <c r="P231" i="1"/>
  <c r="S231" i="1"/>
  <c r="P230" i="1"/>
  <c r="S230" i="1"/>
  <c r="P227" i="1"/>
  <c r="S227" i="1"/>
  <c r="K223" i="1" l="1"/>
  <c r="O223" i="1" s="1"/>
  <c r="K217" i="1"/>
  <c r="O217" i="1" s="1"/>
  <c r="K221" i="1"/>
  <c r="O221" i="1" s="1"/>
  <c r="K207" i="1"/>
  <c r="O207" i="1" s="1"/>
  <c r="K213" i="1"/>
  <c r="O213" i="1" s="1"/>
  <c r="K220" i="1"/>
  <c r="O220" i="1" s="1"/>
  <c r="K212" i="1"/>
  <c r="O212" i="1" s="1"/>
  <c r="K218" i="1"/>
  <c r="O218" i="1" s="1"/>
  <c r="K222" i="1"/>
  <c r="O222" i="1" s="1"/>
  <c r="K219" i="1"/>
  <c r="O219" i="1" s="1"/>
  <c r="K210" i="1"/>
  <c r="O210" i="1" s="1"/>
  <c r="K214" i="1"/>
  <c r="O214" i="1" s="1"/>
  <c r="K209" i="1"/>
  <c r="O209" i="1" s="1"/>
  <c r="K215" i="1"/>
  <c r="O215" i="1" s="1"/>
  <c r="K211" i="1"/>
  <c r="O211" i="1" s="1"/>
  <c r="K216" i="1"/>
  <c r="O216" i="1" s="1"/>
  <c r="K208" i="1"/>
  <c r="O208" i="1" s="1"/>
  <c r="P211" i="1" l="1"/>
  <c r="S211" i="1"/>
  <c r="P220" i="1"/>
  <c r="S220" i="1"/>
  <c r="P219" i="1"/>
  <c r="S219" i="1"/>
  <c r="P214" i="1"/>
  <c r="S214" i="1"/>
  <c r="P218" i="1"/>
  <c r="S218" i="1"/>
  <c r="P207" i="1"/>
  <c r="S207" i="1"/>
  <c r="P222" i="1"/>
  <c r="S222" i="1"/>
  <c r="P208" i="1"/>
  <c r="S208" i="1"/>
  <c r="P221" i="1"/>
  <c r="S221" i="1"/>
  <c r="P209" i="1"/>
  <c r="S209" i="1"/>
  <c r="P216" i="1"/>
  <c r="S216" i="1"/>
  <c r="P210" i="1"/>
  <c r="S210" i="1"/>
  <c r="P212" i="1"/>
  <c r="S212" i="1"/>
  <c r="P217" i="1"/>
  <c r="S217" i="1"/>
  <c r="P215" i="1"/>
  <c r="S215" i="1"/>
  <c r="P213" i="1"/>
  <c r="S213" i="1"/>
  <c r="P223" i="1"/>
  <c r="S223" i="1"/>
  <c r="K41" i="1"/>
  <c r="O41" i="1" s="1"/>
  <c r="K163" i="1"/>
  <c r="O163" i="1" s="1"/>
  <c r="K180" i="1"/>
  <c r="O180" i="1" s="1"/>
  <c r="K28" i="1"/>
  <c r="O28" i="1" s="1"/>
  <c r="K117" i="1"/>
  <c r="O117" i="1" s="1"/>
  <c r="K15" i="1"/>
  <c r="O15" i="1" s="1"/>
  <c r="K88" i="1"/>
  <c r="O88" i="1" s="1"/>
  <c r="K182" i="1"/>
  <c r="O182" i="1" s="1"/>
  <c r="K130" i="1"/>
  <c r="O130" i="1" s="1"/>
  <c r="K25" i="1"/>
  <c r="O25" i="1" s="1"/>
  <c r="K102" i="1"/>
  <c r="O102" i="1" s="1"/>
  <c r="K160" i="1"/>
  <c r="O160" i="1" s="1"/>
  <c r="K143" i="1"/>
  <c r="O143" i="1" s="1"/>
  <c r="K142" i="1"/>
  <c r="O142" i="1" s="1"/>
  <c r="K91" i="1"/>
  <c r="O91" i="1" s="1"/>
  <c r="K145" i="1"/>
  <c r="O145" i="1" s="1"/>
  <c r="K110" i="1"/>
  <c r="O110" i="1" s="1"/>
  <c r="K75" i="1"/>
  <c r="O75" i="1" s="1"/>
  <c r="K67" i="1"/>
  <c r="O67" i="1" s="1"/>
  <c r="K80" i="1"/>
  <c r="O80" i="1" s="1"/>
  <c r="K37" i="1"/>
  <c r="O37" i="1" s="1"/>
  <c r="K111" i="1"/>
  <c r="O111" i="1" s="1"/>
  <c r="K151" i="1"/>
  <c r="O151" i="1" s="1"/>
  <c r="K146" i="1"/>
  <c r="O146" i="1" s="1"/>
  <c r="K51" i="1"/>
  <c r="O51" i="1" s="1"/>
  <c r="K65" i="1"/>
  <c r="O65" i="1" s="1"/>
  <c r="K77" i="1"/>
  <c r="O77" i="1" s="1"/>
  <c r="K131" i="1"/>
  <c r="O131" i="1" s="1"/>
  <c r="K39" i="1"/>
  <c r="O39" i="1" s="1"/>
  <c r="K82" i="1"/>
  <c r="O82" i="1" s="1"/>
  <c r="K49" i="1"/>
  <c r="O49" i="1" s="1"/>
  <c r="K23" i="1"/>
  <c r="O23" i="1" s="1"/>
  <c r="K99" i="1"/>
  <c r="O99" i="1" s="1"/>
  <c r="K89" i="1"/>
  <c r="O89" i="1" s="1"/>
  <c r="K141" i="1"/>
  <c r="O141" i="1" s="1"/>
  <c r="K35" i="1"/>
  <c r="O35" i="1" s="1"/>
  <c r="K97" i="1"/>
  <c r="O97" i="1" s="1"/>
  <c r="K84" i="1"/>
  <c r="O84" i="1" s="1"/>
  <c r="K154" i="1"/>
  <c r="O154" i="1" s="1"/>
  <c r="S154" i="1" s="1"/>
  <c r="K96" i="1"/>
  <c r="O96" i="1" s="1"/>
  <c r="K47" i="1"/>
  <c r="O47" i="1" s="1"/>
  <c r="K36" i="1"/>
  <c r="O36" i="1" s="1"/>
  <c r="K126" i="1"/>
  <c r="O126" i="1" s="1"/>
  <c r="K40" i="1"/>
  <c r="O40" i="1" s="1"/>
  <c r="K194" i="1"/>
  <c r="O194" i="1" s="1"/>
  <c r="K169" i="1"/>
  <c r="O169" i="1" s="1"/>
  <c r="K136" i="1"/>
  <c r="O136" i="1" s="1"/>
  <c r="K81" i="1"/>
  <c r="O81" i="1" s="1"/>
  <c r="K144" i="1"/>
  <c r="O144" i="1" s="1"/>
  <c r="K17" i="1"/>
  <c r="O17" i="1" s="1"/>
  <c r="K184" i="1"/>
  <c r="O184" i="1" s="1"/>
  <c r="K150" i="1"/>
  <c r="O150" i="1" s="1"/>
  <c r="O44" i="1"/>
  <c r="K16" i="1"/>
  <c r="O16" i="1" s="1"/>
  <c r="K98" i="1"/>
  <c r="O98" i="1" s="1"/>
  <c r="K166" i="1"/>
  <c r="O166" i="1" s="1"/>
  <c r="K137" i="1"/>
  <c r="O137" i="1" s="1"/>
  <c r="K57" i="1"/>
  <c r="O57" i="1" s="1"/>
  <c r="K202" i="1"/>
  <c r="O202" i="1" s="1"/>
  <c r="K140" i="1"/>
  <c r="O140" i="1" s="1"/>
  <c r="K171" i="1"/>
  <c r="O171" i="1" s="1"/>
  <c r="K85" i="1"/>
  <c r="O85" i="1" s="1"/>
  <c r="K53" i="1"/>
  <c r="O53" i="1" s="1"/>
  <c r="K119" i="1"/>
  <c r="O119" i="1" s="1"/>
  <c r="K115" i="1"/>
  <c r="O115" i="1" s="1"/>
  <c r="K46" i="1"/>
  <c r="O46" i="1" s="1"/>
  <c r="K105" i="1"/>
  <c r="O105" i="1" s="1"/>
  <c r="K132" i="1"/>
  <c r="O132" i="1" s="1"/>
  <c r="K30" i="1"/>
  <c r="O30" i="1" s="1"/>
  <c r="K31" i="1"/>
  <c r="O31" i="1" s="1"/>
  <c r="K63" i="1"/>
  <c r="O63" i="1" s="1"/>
  <c r="K14" i="1"/>
  <c r="K79" i="1"/>
  <c r="O79" i="1" s="1"/>
  <c r="K100" i="1"/>
  <c r="O100" i="1" s="1"/>
  <c r="K161" i="1"/>
  <c r="O161" i="1" s="1"/>
  <c r="K107" i="1"/>
  <c r="O107" i="1" s="1"/>
  <c r="K134" i="1"/>
  <c r="O134" i="1" s="1"/>
  <c r="K133" i="1"/>
  <c r="O133" i="1" s="1"/>
  <c r="K201" i="1"/>
  <c r="O201" i="1" s="1"/>
  <c r="K114" i="1"/>
  <c r="O114" i="1" s="1"/>
  <c r="K42" i="1"/>
  <c r="O42" i="1" s="1"/>
  <c r="K71" i="1"/>
  <c r="O71" i="1" s="1"/>
  <c r="K205" i="1"/>
  <c r="O205" i="1" s="1"/>
  <c r="K113" i="1"/>
  <c r="O113" i="1" s="1"/>
  <c r="K72" i="1"/>
  <c r="O72" i="1" s="1"/>
  <c r="K116" i="1"/>
  <c r="O116" i="1" s="1"/>
  <c r="K148" i="1"/>
  <c r="O148" i="1" s="1"/>
  <c r="K22" i="1"/>
  <c r="O22" i="1" s="1"/>
  <c r="K104" i="1"/>
  <c r="O104" i="1" s="1"/>
  <c r="K178" i="1"/>
  <c r="O178" i="1" s="1"/>
  <c r="K193" i="1"/>
  <c r="O193" i="1" s="1"/>
  <c r="K20" i="1"/>
  <c r="O20" i="1" s="1"/>
  <c r="K176" i="1"/>
  <c r="O176" i="1" s="1"/>
  <c r="S176" i="1" s="1"/>
  <c r="K167" i="1"/>
  <c r="O167" i="1" s="1"/>
  <c r="K162" i="1"/>
  <c r="O162" i="1" s="1"/>
  <c r="K196" i="1"/>
  <c r="O196" i="1" s="1"/>
  <c r="K38" i="1"/>
  <c r="O38" i="1" s="1"/>
  <c r="K86" i="1"/>
  <c r="O86" i="1" s="1"/>
  <c r="K26" i="1"/>
  <c r="O26" i="1" s="1"/>
  <c r="K191" i="1"/>
  <c r="O191" i="1" s="1"/>
  <c r="K173" i="1"/>
  <c r="O173" i="1" s="1"/>
  <c r="K156" i="1"/>
  <c r="O156" i="1" s="1"/>
  <c r="K29" i="1"/>
  <c r="O29" i="1" s="1"/>
  <c r="K52" i="1"/>
  <c r="O52" i="1" s="1"/>
  <c r="K45" i="1"/>
  <c r="O45" i="1" s="1"/>
  <c r="K112" i="1"/>
  <c r="O112" i="1" s="1"/>
  <c r="K122" i="1"/>
  <c r="O122" i="1" s="1"/>
  <c r="K19" i="1"/>
  <c r="O19" i="1" s="1"/>
  <c r="K83" i="1"/>
  <c r="O83" i="1" s="1"/>
  <c r="K125" i="1"/>
  <c r="O125" i="1" s="1"/>
  <c r="K62" i="1"/>
  <c r="O62" i="1" s="1"/>
  <c r="K32" i="1"/>
  <c r="O32" i="1" s="1"/>
  <c r="K185" i="1"/>
  <c r="O185" i="1" s="1"/>
  <c r="K48" i="1"/>
  <c r="O48" i="1" s="1"/>
  <c r="K73" i="1"/>
  <c r="O73" i="1" s="1"/>
  <c r="K78" i="1"/>
  <c r="O78" i="1" s="1"/>
  <c r="K90" i="1"/>
  <c r="O90" i="1" s="1"/>
  <c r="K200" i="1"/>
  <c r="O200" i="1" s="1"/>
  <c r="K108" i="1"/>
  <c r="O108" i="1" s="1"/>
  <c r="K198" i="1"/>
  <c r="O198" i="1" s="1"/>
  <c r="K120" i="1"/>
  <c r="O120" i="1" s="1"/>
  <c r="K158" i="1"/>
  <c r="O158" i="1" s="1"/>
  <c r="K24" i="1"/>
  <c r="O24" i="1" s="1"/>
  <c r="K21" i="1"/>
  <c r="O21" i="1" s="1"/>
  <c r="K195" i="1"/>
  <c r="O195" i="1" s="1"/>
  <c r="K18" i="1"/>
  <c r="O18" i="1" s="1"/>
  <c r="K50" i="1"/>
  <c r="O50" i="1" s="1"/>
  <c r="K103" i="1"/>
  <c r="O103" i="1" s="1"/>
  <c r="K87" i="1"/>
  <c r="O87" i="1" s="1"/>
  <c r="K147" i="1"/>
  <c r="O147" i="1" s="1"/>
  <c r="K70" i="1"/>
  <c r="O70" i="1" s="1"/>
  <c r="K123" i="1"/>
  <c r="O123" i="1" s="1"/>
  <c r="K164" i="1"/>
  <c r="O164" i="1" s="1"/>
  <c r="K69" i="1"/>
  <c r="O69" i="1" s="1"/>
  <c r="K27" i="1"/>
  <c r="O27" i="1" s="1"/>
  <c r="K92" i="1"/>
  <c r="O92" i="1" s="1"/>
  <c r="K106" i="1"/>
  <c r="O106" i="1" s="1"/>
  <c r="K118" i="1"/>
  <c r="O118" i="1" s="1"/>
  <c r="O14" i="1" l="1"/>
  <c r="P14" i="1" s="1"/>
  <c r="P28" i="1"/>
  <c r="S28" i="1"/>
  <c r="P48" i="1"/>
  <c r="S48" i="1"/>
  <c r="P147" i="1"/>
  <c r="S147" i="1"/>
  <c r="P122" i="1"/>
  <c r="S122" i="1"/>
  <c r="P51" i="1"/>
  <c r="S51" i="1"/>
  <c r="P20" i="1"/>
  <c r="S20" i="1"/>
  <c r="P25" i="1"/>
  <c r="S25" i="1"/>
  <c r="P40" i="1"/>
  <c r="S40" i="1"/>
  <c r="P53" i="1"/>
  <c r="S53" i="1"/>
  <c r="P44" i="1"/>
  <c r="S44" i="1"/>
  <c r="P35" i="1"/>
  <c r="S35" i="1"/>
  <c r="P182" i="1"/>
  <c r="S182" i="1"/>
  <c r="P148" i="1"/>
  <c r="S148" i="1"/>
  <c r="P27" i="1"/>
  <c r="S27" i="1"/>
  <c r="P47" i="1"/>
  <c r="S47" i="1"/>
  <c r="P141" i="1"/>
  <c r="S141" i="1"/>
  <c r="P88" i="1"/>
  <c r="S88" i="1"/>
  <c r="P123" i="1"/>
  <c r="S123" i="1"/>
  <c r="P70" i="1"/>
  <c r="S70" i="1"/>
  <c r="S14" i="1"/>
  <c r="P89" i="1"/>
  <c r="S89" i="1"/>
  <c r="P110" i="1"/>
  <c r="S110" i="1"/>
  <c r="P15" i="1"/>
  <c r="S15" i="1"/>
  <c r="P83" i="1"/>
  <c r="S83" i="1"/>
  <c r="P26" i="1"/>
  <c r="S26" i="1"/>
  <c r="P169" i="1"/>
  <c r="S169" i="1"/>
  <c r="P131" i="1"/>
  <c r="S131" i="1"/>
  <c r="P23" i="1"/>
  <c r="S23" i="1"/>
  <c r="P52" i="1"/>
  <c r="S52" i="1"/>
  <c r="P134" i="1"/>
  <c r="S134" i="1"/>
  <c r="P100" i="1"/>
  <c r="S100" i="1"/>
  <c r="P77" i="1"/>
  <c r="S77" i="1"/>
  <c r="P87" i="1"/>
  <c r="S87" i="1"/>
  <c r="P167" i="1"/>
  <c r="S167" i="1"/>
  <c r="P194" i="1"/>
  <c r="S194" i="1"/>
  <c r="P145" i="1"/>
  <c r="S145" i="1"/>
  <c r="P164" i="1"/>
  <c r="S164" i="1"/>
  <c r="P103" i="1"/>
  <c r="S103" i="1"/>
  <c r="P24" i="1"/>
  <c r="S24" i="1"/>
  <c r="P90" i="1"/>
  <c r="S90" i="1"/>
  <c r="P32" i="1"/>
  <c r="S32" i="1"/>
  <c r="P156" i="1"/>
  <c r="S156" i="1"/>
  <c r="P86" i="1"/>
  <c r="S86" i="1"/>
  <c r="P176" i="1"/>
  <c r="P22" i="1"/>
  <c r="S22" i="1"/>
  <c r="P113" i="1"/>
  <c r="S113" i="1"/>
  <c r="P133" i="1"/>
  <c r="S133" i="1"/>
  <c r="P79" i="1"/>
  <c r="S79" i="1"/>
  <c r="P132" i="1"/>
  <c r="S132" i="1"/>
  <c r="P57" i="1"/>
  <c r="S57" i="1"/>
  <c r="P144" i="1"/>
  <c r="S144" i="1"/>
  <c r="P82" i="1"/>
  <c r="S82" i="1"/>
  <c r="P37" i="1"/>
  <c r="S37" i="1"/>
  <c r="P102" i="1"/>
  <c r="S102" i="1"/>
  <c r="P163" i="1"/>
  <c r="S163" i="1"/>
  <c r="P162" i="1"/>
  <c r="S162" i="1"/>
  <c r="P30" i="1"/>
  <c r="S30" i="1"/>
  <c r="P160" i="1"/>
  <c r="S160" i="1"/>
  <c r="P201" i="1"/>
  <c r="S201" i="1"/>
  <c r="P49" i="1"/>
  <c r="S49" i="1"/>
  <c r="P106" i="1"/>
  <c r="S106" i="1"/>
  <c r="P158" i="1"/>
  <c r="S158" i="1"/>
  <c r="P154" i="1"/>
  <c r="P80" i="1"/>
  <c r="S80" i="1"/>
  <c r="P91" i="1"/>
  <c r="S91" i="1"/>
  <c r="P140" i="1"/>
  <c r="S140" i="1"/>
  <c r="P185" i="1"/>
  <c r="S185" i="1"/>
  <c r="P65" i="1"/>
  <c r="S65" i="1"/>
  <c r="P92" i="1"/>
  <c r="S92" i="1"/>
  <c r="P50" i="1"/>
  <c r="S50" i="1"/>
  <c r="P120" i="1"/>
  <c r="S120" i="1"/>
  <c r="P78" i="1"/>
  <c r="S78" i="1"/>
  <c r="P62" i="1"/>
  <c r="S62" i="1"/>
  <c r="P112" i="1"/>
  <c r="S112" i="1"/>
  <c r="P173" i="1"/>
  <c r="S173" i="1"/>
  <c r="P38" i="1"/>
  <c r="S38" i="1"/>
  <c r="P205" i="1"/>
  <c r="S205" i="1"/>
  <c r="P105" i="1"/>
  <c r="S105" i="1"/>
  <c r="P85" i="1"/>
  <c r="S85" i="1"/>
  <c r="P137" i="1"/>
  <c r="S137" i="1"/>
  <c r="P81" i="1"/>
  <c r="S81" i="1"/>
  <c r="P84" i="1"/>
  <c r="S84" i="1"/>
  <c r="P39" i="1"/>
  <c r="S39" i="1"/>
  <c r="P67" i="1"/>
  <c r="S67" i="1"/>
  <c r="P142" i="1"/>
  <c r="S142" i="1"/>
  <c r="P41" i="1"/>
  <c r="S41" i="1"/>
  <c r="P21" i="1"/>
  <c r="S21" i="1"/>
  <c r="P72" i="1"/>
  <c r="S72" i="1"/>
  <c r="P17" i="1"/>
  <c r="S17" i="1"/>
  <c r="P118" i="1"/>
  <c r="S118" i="1"/>
  <c r="P29" i="1"/>
  <c r="S29" i="1"/>
  <c r="P18" i="1"/>
  <c r="S18" i="1"/>
  <c r="P125" i="1"/>
  <c r="S125" i="1"/>
  <c r="P193" i="1"/>
  <c r="S193" i="1"/>
  <c r="P71" i="1"/>
  <c r="S71" i="1"/>
  <c r="P107" i="1"/>
  <c r="S107" i="1"/>
  <c r="P63" i="1"/>
  <c r="S63" i="1"/>
  <c r="P46" i="1"/>
  <c r="S46" i="1"/>
  <c r="P150" i="1"/>
  <c r="S150" i="1"/>
  <c r="P126" i="1"/>
  <c r="S126" i="1"/>
  <c r="P99" i="1"/>
  <c r="S99" i="1"/>
  <c r="P146" i="1"/>
  <c r="S146" i="1"/>
  <c r="P75" i="1"/>
  <c r="S75" i="1"/>
  <c r="P130" i="1"/>
  <c r="S130" i="1"/>
  <c r="P117" i="1"/>
  <c r="S117" i="1"/>
  <c r="P200" i="1"/>
  <c r="S200" i="1"/>
  <c r="P114" i="1"/>
  <c r="S114" i="1"/>
  <c r="P98" i="1"/>
  <c r="S98" i="1"/>
  <c r="P111" i="1"/>
  <c r="S111" i="1"/>
  <c r="P202" i="1"/>
  <c r="S202" i="1"/>
  <c r="P96" i="1"/>
  <c r="S96" i="1"/>
  <c r="P180" i="1"/>
  <c r="S180" i="1"/>
  <c r="P195" i="1"/>
  <c r="S195" i="1"/>
  <c r="P198" i="1"/>
  <c r="S198" i="1"/>
  <c r="P73" i="1"/>
  <c r="S73" i="1"/>
  <c r="P45" i="1"/>
  <c r="S45" i="1"/>
  <c r="P191" i="1"/>
  <c r="S191" i="1"/>
  <c r="P196" i="1"/>
  <c r="S196" i="1"/>
  <c r="P178" i="1"/>
  <c r="S178" i="1"/>
  <c r="P116" i="1"/>
  <c r="S116" i="1"/>
  <c r="P42" i="1"/>
  <c r="S42" i="1"/>
  <c r="P31" i="1"/>
  <c r="S31" i="1"/>
  <c r="P115" i="1"/>
  <c r="S115" i="1"/>
  <c r="P171" i="1"/>
  <c r="S171" i="1"/>
  <c r="P166" i="1"/>
  <c r="S166" i="1"/>
  <c r="P136" i="1"/>
  <c r="S136" i="1"/>
  <c r="P36" i="1"/>
  <c r="S36" i="1"/>
  <c r="P97" i="1"/>
  <c r="S97" i="1"/>
  <c r="P143" i="1"/>
  <c r="S143" i="1"/>
  <c r="P69" i="1"/>
  <c r="S69" i="1"/>
  <c r="P104" i="1"/>
  <c r="S104" i="1"/>
  <c r="P119" i="1"/>
  <c r="S119" i="1"/>
  <c r="P19" i="1"/>
  <c r="S19" i="1"/>
  <c r="P16" i="1"/>
  <c r="S16" i="1"/>
  <c r="P108" i="1"/>
  <c r="S108" i="1"/>
  <c r="P161" i="1"/>
  <c r="S161" i="1"/>
  <c r="P184" i="1"/>
  <c r="S184" i="1"/>
  <c r="P151" i="1"/>
  <c r="S151" i="1"/>
</calcChain>
</file>

<file path=xl/sharedStrings.xml><?xml version="1.0" encoding="utf-8"?>
<sst xmlns="http://schemas.openxmlformats.org/spreadsheetml/2006/main" count="458" uniqueCount="315">
  <si>
    <t xml:space="preserve">CNPJ*:                                                                                  INSC. ESTADUAL*: </t>
  </si>
  <si>
    <t xml:space="preserve">ENDEREÇO*:   </t>
  </si>
  <si>
    <t xml:space="preserve">N º *:                                CEP*: </t>
  </si>
  <si>
    <t xml:space="preserve">BAIRRO*:                                                                  CIDADE*:                                                     ESTADO*: </t>
  </si>
  <si>
    <t xml:space="preserve">E-MAIL* : </t>
  </si>
  <si>
    <t>DATA DE NASCIMENTO:   /     /</t>
  </si>
  <si>
    <t>CÓD</t>
  </si>
  <si>
    <t>PRODUTOS</t>
  </si>
  <si>
    <t>VALOR UNITÁRIO</t>
  </si>
  <si>
    <t>ALIQUOTA MVA</t>
  </si>
  <si>
    <t>VALOR DO MVA</t>
  </si>
  <si>
    <t>ALIQUOTA INTERESTADUAL</t>
  </si>
  <si>
    <t>ALIQUOTA INTERNA</t>
  </si>
  <si>
    <t>VALOR ICMS PRÓPRIO</t>
  </si>
  <si>
    <t>BASE ST</t>
  </si>
  <si>
    <t>IPI</t>
  </si>
  <si>
    <t>VALOR DO IPI</t>
  </si>
  <si>
    <t>CAIXAS</t>
  </si>
  <si>
    <t>UNID/ CAIXA</t>
  </si>
  <si>
    <t>SUGERIDO SALÃO</t>
  </si>
  <si>
    <t>SUGERIDO CLIENTE FINAL</t>
  </si>
  <si>
    <t xml:space="preserve">LINHA NATURAL NANOTECNOLÓGICA </t>
  </si>
  <si>
    <t>LEAVE-IN HYDRA EXPERT 250 ML</t>
  </si>
  <si>
    <t>LEAVE-IN NUTRE EXTREME 250 ML</t>
  </si>
  <si>
    <t>LEAVE-IN REPAIR SYSTEM 250 ML</t>
  </si>
  <si>
    <t xml:space="preserve">LINHA TRATAMENTO PREMIUM LAVATÓRIO </t>
  </si>
  <si>
    <t>SHAMPOO VEGAN DAY BY DAY 3,1 L</t>
  </si>
  <si>
    <t>CONDICIONADOR VEGAN DAY BY DAY 3,1 L</t>
  </si>
  <si>
    <t xml:space="preserve">CONDICIONADOR VEGAN DAY BY DAY 300 ML  </t>
  </si>
  <si>
    <t xml:space="preserve">LEAVE-IN DAY BY DAY 250 ML </t>
  </si>
  <si>
    <t>REALINHAMENTO TÉRMICO VEGAN</t>
  </si>
  <si>
    <t xml:space="preserve">COLORAÇÕES SOMENTE CAIXA COM 12 UNID. </t>
  </si>
  <si>
    <t xml:space="preserve">NATURAIS </t>
  </si>
  <si>
    <t>INTENSE COLOR VEGANA  - Preto 1.0</t>
  </si>
  <si>
    <t>INTENSE COLOR VEGANA  - Castanho Escuro 3.0</t>
  </si>
  <si>
    <t>INTENSE COLOR VEGANA  - Castanho Médio 4.0</t>
  </si>
  <si>
    <t>INTENSE COLOR VEGANA  - Castanho Claro 5.0</t>
  </si>
  <si>
    <t>INTENSE COLOR VEGANA  - Louro Escuro 6.0</t>
  </si>
  <si>
    <t>INTENSE COLOR VEGANA  - Louro Médio 7.0</t>
  </si>
  <si>
    <t>INTENSE COLOR VEGANA  - Louro Claro 8.0</t>
  </si>
  <si>
    <t>INTENSE COLOR VEGANA  - Louro Muito Claro 9.0</t>
  </si>
  <si>
    <t>INTENSE COLOR VEGANA  - Louro Clarísismo 10.0</t>
  </si>
  <si>
    <t xml:space="preserve">MARROM </t>
  </si>
  <si>
    <t>INTENSE COLOR VEGANA  - Castanho Claro Marrom 5.7</t>
  </si>
  <si>
    <t>INTENSE COLOR VEGANA  - Louro Escuro Marrom/Chocolate 6.7</t>
  </si>
  <si>
    <t>INTENSE COLOR VEGANA  - Louro Marrom/Mel 7.7</t>
  </si>
  <si>
    <t>MARROM QUENTE</t>
  </si>
  <si>
    <t>MARROM FRIO</t>
  </si>
  <si>
    <t>INTENSE COLOR VEGANA  - Louro Médio Intenso Marrom Acinzentado 7.71</t>
  </si>
  <si>
    <t>CINZA</t>
  </si>
  <si>
    <t>INTENSE COLOR VEGANA  - Louro Escuro Cinza 6.1</t>
  </si>
  <si>
    <t>INTENSE COLOR VEGANA  - Louro Cinza 7.1</t>
  </si>
  <si>
    <t>INTENSE COLOR VEGANA  - Louro Claro Cinza 8.1</t>
  </si>
  <si>
    <t>INTENSE COLOR VEGANA  - Louro Muito Claro Cinza 9.1</t>
  </si>
  <si>
    <t>INTENSE COLOR VEGANA  - Louro Clarísismo Cinza 10.1</t>
  </si>
  <si>
    <t>DOURADO</t>
  </si>
  <si>
    <t>INTENSE COLOR VEGANA  - Louro Escuro Dourado Acobreado/Canela 6.34</t>
  </si>
  <si>
    <t>INTENSE COLOR VEGANA  - Louro Dourado 7.3</t>
  </si>
  <si>
    <t>BEGE</t>
  </si>
  <si>
    <t>INTENSE COLOR VEGANA  - Louro Muito Claro Bege Acinzentado 9.13</t>
  </si>
  <si>
    <t>BEGE DOURADO</t>
  </si>
  <si>
    <t>COBRE</t>
  </si>
  <si>
    <t>INTENSE COLOR VEGANA  - Louro Claro Cobre Intenso 7.44</t>
  </si>
  <si>
    <t>INTENSE COLOR VEGANA  - Louro Claro Dourado Cobre 8.43</t>
  </si>
  <si>
    <t>COBRE ACINZENTADO</t>
  </si>
  <si>
    <t>INTENSE COLOR VEGANA  - Louro Escuro Cobre Acinzentado/Toffee 6.41</t>
  </si>
  <si>
    <t>PÉROLA</t>
  </si>
  <si>
    <t>INTENSE COLOR VEGANA  - Louro Muito Claro Pérola 9.89</t>
  </si>
  <si>
    <t>VERMELHO</t>
  </si>
  <si>
    <t>INTENSE COLOR VEGANA  - Louro Escuro Vermelho Intenso 6.66</t>
  </si>
  <si>
    <t>INTENSE COLOR VEGANA  - Louro Claro Vermelho Intenso 7.66</t>
  </si>
  <si>
    <t>VERMELHO (MARSALA)</t>
  </si>
  <si>
    <t>INTENSE COLOR VEGANA  - Louro Claro Violeta Vermelho/Marsala 8.26</t>
  </si>
  <si>
    <t>MATIZADOR ESPECIAL</t>
  </si>
  <si>
    <t>INTENSE COLOR VEGANA  - Louro Muito Claro Bege Dourado Suave 9.031</t>
  </si>
  <si>
    <t>INTENSE COLOR VEGANA  - Louro Muito Claro Marrom Dourado Suave 9.073</t>
  </si>
  <si>
    <t>INTENSE COLOR VEGANA  - Louro Claríssimo Irisado Acinzentado Suave 10.021</t>
  </si>
  <si>
    <t>INTENSE COLOR VEGANA  - Louro Claríssimo Pérola Suave 10.089</t>
  </si>
  <si>
    <t>CLAREADOR ESPECIAL</t>
  </si>
  <si>
    <t>CORRETOR/INTENSIFICADOR</t>
  </si>
  <si>
    <t>INTENSE COLOR VEGANA  - Cinza 0.1</t>
  </si>
  <si>
    <t>INTENSE COLOR VEGANA  - Violeta Intenso 0.22</t>
  </si>
  <si>
    <t>INTENSE COLOR VEGANA  - Cobre Dourado/Intensificador 0.43</t>
  </si>
  <si>
    <t>INTENSE COLOR VEGANA  - Vermelho 0.6</t>
  </si>
  <si>
    <t>MATERIAL DE APOIO</t>
  </si>
  <si>
    <r>
      <t xml:space="preserve">AVENTAL DETALHE EM COURO </t>
    </r>
    <r>
      <rPr>
        <sz val="8"/>
        <color rgb="FFFF0000"/>
        <rFont val="Arial"/>
        <family val="2"/>
      </rPr>
      <t xml:space="preserve"> </t>
    </r>
  </si>
  <si>
    <t xml:space="preserve">CAPA DE CORTE  </t>
  </si>
  <si>
    <t xml:space="preserve">BOLSA DE TECIDO ALGODÃO CRU </t>
  </si>
  <si>
    <t>SACO DE TECIDO DE ALGODÃO CRU COM CORDÃO</t>
  </si>
  <si>
    <t>.</t>
  </si>
  <si>
    <t>TOTAL</t>
  </si>
  <si>
    <t>Conferido :</t>
  </si>
  <si>
    <t>Volumes :</t>
  </si>
  <si>
    <t>Nº Etiquetas :</t>
  </si>
  <si>
    <t>Cor Etiquetas :</t>
  </si>
  <si>
    <t>Início:</t>
  </si>
  <si>
    <t>Término:</t>
  </si>
  <si>
    <t xml:space="preserve">PHYTO´S OIL </t>
  </si>
  <si>
    <t>ÓLEO ESSENCIAL DE ALECRIM - 15 ML</t>
  </si>
  <si>
    <t>ÓLEO ESSENCIAL DE GENGIBRE - 15 ML</t>
  </si>
  <si>
    <t>ÓLEO ESSENCIAL DE LIMÃO SICILIANO - 15 ML</t>
  </si>
  <si>
    <t>ÓLEO ESSENCIAL DE MELALEUCA - 15 ML</t>
  </si>
  <si>
    <t>ÓLEO ESSENCIAL DE LAVANDA - 15 ML</t>
  </si>
  <si>
    <t>ÓLEO ESSENCIAL DE GERÂNIO - 15 ML</t>
  </si>
  <si>
    <t>ÓLEO ESSENCIAL DE HORTELÃ-PIMENTA  - 15 ML</t>
  </si>
  <si>
    <t>ÓLEO ESSENCIAL DE PATCHOULI - 15 ML</t>
  </si>
  <si>
    <t>ÓLEO ESSENCIAL DE BERGAMOTA - 15 ML</t>
  </si>
  <si>
    <t>ÓLEO ESSENCIAL DE CEDRO - 15 ML</t>
  </si>
  <si>
    <t>ÓLEO ESSENCIAL DE LARANJA DOCE - 15 ML</t>
  </si>
  <si>
    <t xml:space="preserve">ÓLEO ESSENCIAL DE WINTERGREEN - 15 </t>
  </si>
  <si>
    <t>ÓLEO VEGETAL DE SEMENTE DE UVA - 50 ML</t>
  </si>
  <si>
    <t>ÓLEO VEGETAL DE MACADÂMIA - 50 ML</t>
  </si>
  <si>
    <t>ÓLEO VEGETAL DE COCO - 220 ML</t>
  </si>
  <si>
    <t>THERMAL WATER - 220 ML</t>
  </si>
  <si>
    <t>CREME NEUTRO VEGETAL - 500G</t>
  </si>
  <si>
    <r>
      <t xml:space="preserve">SHAMPOO PREPARADOR PROGRESS 1000 ML </t>
    </r>
    <r>
      <rPr>
        <b/>
        <sz val="8"/>
        <color rgb="FFFF0000"/>
        <rFont val="Arial"/>
        <family val="2"/>
      </rPr>
      <t xml:space="preserve"> </t>
    </r>
  </si>
  <si>
    <t xml:space="preserve">LIZZE THERAPY BRAZILIAN VEGAN 1000 ML  </t>
  </si>
  <si>
    <r>
      <t xml:space="preserve">BALÃO BRANCO </t>
    </r>
    <r>
      <rPr>
        <sz val="8"/>
        <color rgb="FFFF0000"/>
        <rFont val="Arial"/>
        <family val="2"/>
      </rPr>
      <t xml:space="preserve">(PACOTE COM 100 UNIDADES) </t>
    </r>
  </si>
  <si>
    <r>
      <t xml:space="preserve">BALÃO ROSA </t>
    </r>
    <r>
      <rPr>
        <sz val="8"/>
        <color rgb="FFFF0000"/>
        <rFont val="Arial"/>
        <family val="2"/>
      </rPr>
      <t>(PACOTE COM 100 UNIDADES)</t>
    </r>
  </si>
  <si>
    <r>
      <t xml:space="preserve">CATÁLOGO </t>
    </r>
    <r>
      <rPr>
        <sz val="8"/>
        <color rgb="FFFF0000"/>
        <rFont val="Arial"/>
        <family val="2"/>
      </rPr>
      <t xml:space="preserve">(PACOTE COM 25 UNIDADES) </t>
    </r>
  </si>
  <si>
    <r>
      <t>SACOLA PLÁSTICA ERIK KENED</t>
    </r>
    <r>
      <rPr>
        <sz val="8"/>
        <color rgb="FFFFFF00"/>
        <rFont val="Arial"/>
        <family val="2"/>
      </rPr>
      <t xml:space="preserve"> </t>
    </r>
    <r>
      <rPr>
        <sz val="8"/>
        <color rgb="FFFF0000"/>
        <rFont val="Arial"/>
        <family val="2"/>
      </rPr>
      <t xml:space="preserve">(PACOTE COM 100 UNIDADES) </t>
    </r>
  </si>
  <si>
    <r>
      <t xml:space="preserve">CUMBUCA /BACIA PINCEL </t>
    </r>
    <r>
      <rPr>
        <sz val="8"/>
        <color rgb="FFFF0000"/>
        <rFont val="Arial"/>
        <family val="2"/>
      </rPr>
      <t>(PACOTE COM 10 UNIDADES)</t>
    </r>
  </si>
  <si>
    <r>
      <t>SACOLA DE PAPEL P (34,5X24X10)</t>
    </r>
    <r>
      <rPr>
        <sz val="8"/>
        <color indexed="13"/>
        <rFont val="Arial"/>
        <family val="2"/>
      </rPr>
      <t xml:space="preserve"> </t>
    </r>
    <r>
      <rPr>
        <sz val="8"/>
        <color rgb="FFFF0000"/>
        <rFont val="Arial"/>
        <family val="2"/>
      </rPr>
      <t>(PACOTE COM 25 UNIDADES)</t>
    </r>
  </si>
  <si>
    <t>AVENTAL NAPA CINZA CLARO</t>
  </si>
  <si>
    <r>
      <t>KIMONO</t>
    </r>
    <r>
      <rPr>
        <sz val="8"/>
        <color rgb="FFFF0000"/>
        <rFont val="Arial"/>
        <family val="2"/>
      </rPr>
      <t xml:space="preserve"> </t>
    </r>
    <r>
      <rPr>
        <sz val="8"/>
        <color theme="1"/>
        <rFont val="Arial"/>
        <family val="2"/>
      </rPr>
      <t>PRETO</t>
    </r>
  </si>
  <si>
    <r>
      <t xml:space="preserve">ESPÁTULA ERIK KENED </t>
    </r>
    <r>
      <rPr>
        <sz val="8"/>
        <color rgb="FFFF0000"/>
        <rFont val="Arial"/>
        <family val="2"/>
      </rPr>
      <t xml:space="preserve">(PACOTE COM 25 UNIDADES) </t>
    </r>
  </si>
  <si>
    <t>ESCOVA MÁGICA ERIK KENED</t>
  </si>
  <si>
    <t>BONÉ ERIK KENED</t>
  </si>
  <si>
    <t>SAQUINHO PARA MINIATURAS ERIK KENED</t>
  </si>
  <si>
    <t xml:space="preserve">SHAMPOO SPA DETOX 1000 ML </t>
  </si>
  <si>
    <t>MÁSCARA SPA DETOX 1 KG</t>
  </si>
  <si>
    <t>LEAVE-IN SPA DETOX 450 ML</t>
  </si>
  <si>
    <t>SHAMPOO SPA DETOX 300 ML</t>
  </si>
  <si>
    <t>CONDICIONADOR SPA DETOX 300 ML</t>
  </si>
  <si>
    <t>MÁSCARA SPA DETOX 300 G</t>
  </si>
  <si>
    <t>MÁSCARA SPA DETOX 500 G</t>
  </si>
  <si>
    <t>LEAVE-IN SPA DETOX 200 ML</t>
  </si>
  <si>
    <t>MINI - SHAMPOO SPA DETOX 30 ML (CAIXA COM 100 UNIDADES)</t>
  </si>
  <si>
    <t>MINI - CONDICIONADOR SPA DETOX 30 ML (CAIXA COM 100 UNIDADES)</t>
  </si>
  <si>
    <t xml:space="preserve">MINI - MÁSCARA SPA DETOX 30 G (CAIXA COM 96 UNIDADES)  </t>
  </si>
  <si>
    <r>
      <t>MINI - LEAVE-IN SPA DETOX 20 ML (CAIXA COM 100 UNIDADES)</t>
    </r>
    <r>
      <rPr>
        <sz val="8"/>
        <rFont val="Arial"/>
        <family val="2"/>
      </rPr>
      <t xml:space="preserve"> </t>
    </r>
  </si>
  <si>
    <t>SHAMPOO INFUSION OIL 1000 ML</t>
  </si>
  <si>
    <t>MÁSCARA INFUSION OIL 1 KG</t>
  </si>
  <si>
    <t>LEAVE-IN INFUSION OIL 450 ML</t>
  </si>
  <si>
    <t>SHAMPOO INFUSION OIL 300 ML</t>
  </si>
  <si>
    <t>CONDICIONADOR INFUSION OIL 300 ML</t>
  </si>
  <si>
    <t>MÁSCARA INFUSION OIL 300 G</t>
  </si>
  <si>
    <t>MÁSCARA INFUSION OIL 500 G</t>
  </si>
  <si>
    <t>LEAVE-IN INFUSION OIL 200 ML</t>
  </si>
  <si>
    <t>SHAMPOO MATRIX REPAIR 1000 ML</t>
  </si>
  <si>
    <t>MÁSCARA MATRIX REPAIR 1 KG</t>
  </si>
  <si>
    <t>LEAVE-IN MATRIX REPAIR 450 ML</t>
  </si>
  <si>
    <t>SHAMPOO MATRIX REPAIR  300 ML</t>
  </si>
  <si>
    <t>CONDICIONADOR MATRIX REPAIR 300 ML</t>
  </si>
  <si>
    <t>MÁSCARA MATRIX REPAIR 300 G</t>
  </si>
  <si>
    <t>MÁSCARA MATRIX REPAIR 500 G</t>
  </si>
  <si>
    <t>LEAVE-IN MATRIX REPAIR 200 ML</t>
  </si>
  <si>
    <t>SHAMPOO BLOND LUXURY 300 ML</t>
  </si>
  <si>
    <t>CONDICIONADOR BLOND LUXURY 300 ML</t>
  </si>
  <si>
    <t>MÁSCARA BLOND LUXURY 300 G</t>
  </si>
  <si>
    <t>MÁSCARA BLOND LUXURY 500 G</t>
  </si>
  <si>
    <t>LEAVE-IN BLOND LUXURY 200 ML</t>
  </si>
  <si>
    <t>SHAMPOO CURLY THERAPY 300 ML</t>
  </si>
  <si>
    <t>CONDICIONADOR CURLY THERAPY 300 ML</t>
  </si>
  <si>
    <t>MÁSCARA CURLY THERAPY 300 G</t>
  </si>
  <si>
    <t>MÁSCARA CURLY THERAPY 500 G</t>
  </si>
  <si>
    <t>LEAVE-IN CURLY THERAPY 200 ML</t>
  </si>
  <si>
    <t>LEAVE-IN CURLY THERAPY 750 ML</t>
  </si>
  <si>
    <t>DEFRIZANTE DUAL COMPLEX 750 ML</t>
  </si>
  <si>
    <t>DEFRIZANTE DUAL COMPLEX 250 ML (BISNAGA)</t>
  </si>
  <si>
    <t>BI-REDENSIFC ÓLEO BIFÁSICO 250 ML</t>
  </si>
  <si>
    <t>LUXE OIL 60 ML</t>
  </si>
  <si>
    <t>SUPREME OIL REPARADOR DE PONTAS 30 ML</t>
  </si>
  <si>
    <t>NIGHT SERUM 12H</t>
  </si>
  <si>
    <t>X-TREME ELIXIR 140 ML</t>
  </si>
  <si>
    <t>PLEX ONE FORCE EFFECT 500 ML</t>
  </si>
  <si>
    <t>PLEX TWO ESTABILIZING EFFECT 500 ML</t>
  </si>
  <si>
    <t>OX 06 VOLUMES ESTABILIZADA 1000 ML</t>
  </si>
  <si>
    <t>OX 10 VOLUMES ESTABILIZADA 1000 ML</t>
  </si>
  <si>
    <t>OX 20 VOLUMES ESTABILIZADA 1000 ML</t>
  </si>
  <si>
    <t>OX 30 VOLUMES ESTABILIZADA 1000 ML</t>
  </si>
  <si>
    <t>OX 40 VOLUMES ESTABILIZADA 1000 ML</t>
  </si>
  <si>
    <t>PÓ DESCOLORANTE BLUE VITA OILS PLUS 600 G</t>
  </si>
  <si>
    <t>PÓ DESCOLORANTE WHITE VITA OILS PLUS 600 G</t>
  </si>
  <si>
    <t>S.O.S VEGAN RECONSTRUTOR 500 ML</t>
  </si>
  <si>
    <t>S.O.S VEGAN RECONSTRUTOR 250 ML</t>
  </si>
  <si>
    <t xml:space="preserve">LAQUE HAIR SPRAY 200 ML  </t>
  </si>
  <si>
    <t>STYLE POWDER COLUMIZADOR 15 G</t>
  </si>
  <si>
    <t>CERA MODELADORA FLEXWAX 100 G</t>
  </si>
  <si>
    <t>SHAMPOO HYDRA EXPERT 1000 ML</t>
  </si>
  <si>
    <t>CONDICIONADOR HYDRA EXPERT 1000 ML</t>
  </si>
  <si>
    <t>MÁSCARA HYDRA EXPERT 1000 G</t>
  </si>
  <si>
    <t>SHAMPOO HYDRA EXPERT 300 ML</t>
  </si>
  <si>
    <t>CONDICIONADOR HYDRA EXPERT 300 ML</t>
  </si>
  <si>
    <t>MÁSCARA HYDRA EXPERT 300 G</t>
  </si>
  <si>
    <t>MÁSCARA HYDRA EXPERT 500 G</t>
  </si>
  <si>
    <t>SHAMPOO NUTRE EXTREME 1000 ML</t>
  </si>
  <si>
    <t>CONDICIONADOR NUTRE EXTREME 1000 ML</t>
  </si>
  <si>
    <t>MÁSCARA NUTRE EXTREME 1000 G</t>
  </si>
  <si>
    <t>SHAMPOO NUTRE EXTREME 300 ML</t>
  </si>
  <si>
    <t>CONDICIONADOR NUTRE EXTREME 300 ML</t>
  </si>
  <si>
    <t>MÁSCARA NUTRE EXTREME 300 G</t>
  </si>
  <si>
    <t>MÁSCARA NUTRE EXTREME 500 G</t>
  </si>
  <si>
    <t>MINI - SHAMPOO NUTRE EXTREME 30 ML (CAIXA COM 100 UNIDADES)</t>
  </si>
  <si>
    <t>MINI - CONDICIONADOR NUTRE EXTREME 30 ML (CAIXA COM 100 UNIDADES)</t>
  </si>
  <si>
    <t>MNI - MÁSCARA NUTRE EXTREME 30 G (CAIXA COM 96 UNIDADES)</t>
  </si>
  <si>
    <t>MINI - LEAVE-IN NUTRE EXTREME 20 ML (CAIXA COM 100 UNIDADES)</t>
  </si>
  <si>
    <t>SHAMPOO REPAIR SYSTEM 1000 ML</t>
  </si>
  <si>
    <t>CONDICIONADOR REPAIR SYSTEM 1000 ML</t>
  </si>
  <si>
    <t>MÁSCARA REPAIR SYSTEM 1000 G</t>
  </si>
  <si>
    <t>SHAMPOO REPAIR SYSTEM 300 ML</t>
  </si>
  <si>
    <t>CONDICIONADOR REPAIR SYSTEM 300 ML</t>
  </si>
  <si>
    <t>MÁSCARA REPAIR SYSTEM 300 G</t>
  </si>
  <si>
    <t>MÁSCARA REPAIR SYSTEM 500 G</t>
  </si>
  <si>
    <t>SHAMPOO VEGAN DAY BY DAY 300 ML</t>
  </si>
  <si>
    <t>MÁSCARA DAY BY DAY 300 G</t>
  </si>
  <si>
    <t>MÁSCARA DAY BY DAY 500 G</t>
  </si>
  <si>
    <t>NÃO É CLIENTE FINAL</t>
  </si>
  <si>
    <t>SHAMPOO PHITOXYL 300 ML</t>
  </si>
  <si>
    <t>BÁLSAMO ESTIMULANTE PHITOXYL 300 ML</t>
  </si>
  <si>
    <t>PHITOXYL TONIC 200 ML</t>
  </si>
  <si>
    <t>PHITOXYL SUPLEMENTO ALIMENTAR 600 MG</t>
  </si>
  <si>
    <r>
      <t xml:space="preserve">PAPEL DE MECHAS VEGETAL </t>
    </r>
    <r>
      <rPr>
        <sz val="8"/>
        <color rgb="FFFF0000"/>
        <rFont val="Arial"/>
        <family val="2"/>
      </rPr>
      <t>(PACOTE COM 100 UNIDADES)</t>
    </r>
    <r>
      <rPr>
        <sz val="8"/>
        <rFont val="Arial"/>
        <family val="2"/>
      </rPr>
      <t xml:space="preserve"> </t>
    </r>
  </si>
  <si>
    <t>NECESSAIRE ERIK KENED</t>
  </si>
  <si>
    <t>QUANT.</t>
  </si>
  <si>
    <t>CÓD.</t>
  </si>
  <si>
    <t>LOTE 1</t>
  </si>
  <si>
    <t>QNTD.</t>
  </si>
  <si>
    <t>LOTE 2</t>
  </si>
  <si>
    <t>TOTAL+ IPI</t>
  </si>
  <si>
    <t>TOTAL +              ST</t>
  </si>
  <si>
    <t>FCP</t>
  </si>
  <si>
    <t>VALOR FCP</t>
  </si>
  <si>
    <t>VALOR ST+ FCP</t>
  </si>
  <si>
    <t>TOTAL + IPI+ ST+ FCP</t>
  </si>
  <si>
    <t xml:space="preserve">CARTUCHO KIT PHITOXYL </t>
  </si>
  <si>
    <t xml:space="preserve">PREENCHIMENTO OBRIGATÓRIO     </t>
  </si>
  <si>
    <t xml:space="preserve">DATA DO PEDIDO:                                            CÓD: </t>
  </si>
  <si>
    <t>TRANSPORTADORA:</t>
  </si>
  <si>
    <t xml:space="preserve">NOME*:                                                                    </t>
  </si>
  <si>
    <t>CONDIÇÕES DE PAGAMENTO*:</t>
  </si>
  <si>
    <t xml:space="preserve">GARRAFINHA </t>
  </si>
  <si>
    <t>INTENSE COLOR VEGANA  - Louro Claro Marrom Dourado 8.73</t>
  </si>
  <si>
    <t>INTENSE COLOR VEGANA  - Louro Muito Claro Bege Glacê 9.7</t>
  </si>
  <si>
    <t>INTENSE COLOR VEGANA  - Louro Escuro Marrom Acaju/Canela Intenso 6.75</t>
  </si>
  <si>
    <t>INTENSE COLOR VEGANA  - Louro Escuro Dourado 6.3</t>
  </si>
  <si>
    <t>INTENSE COLOR VEGANA  - Louro Muito Claro Bege Dourado Folha Seca 9.31</t>
  </si>
  <si>
    <t>INTENSE COLOR VEGANA  - Louro Muito Claro Dourado Acobreado 9.34</t>
  </si>
  <si>
    <t>INTENSE COLOR VEGANA  - Louro Ultraclaro Pérola Champagne 12.89</t>
  </si>
  <si>
    <t>INTENSE COLOR VEGANA  - Louro Claríssimo Dourado Pérola 10.38</t>
  </si>
  <si>
    <t>ACAJUS</t>
  </si>
  <si>
    <t>INTENSE COLOR VEGANA  - Castanho Claro Acaju 5.5</t>
  </si>
  <si>
    <t>INTENSE COLOR VEGANA  - Louro Escuro Dourado Acaju 6.35</t>
  </si>
  <si>
    <t>INTENSE COLOR VEGANA  - Louro Claro Dourado Acaju 8.35</t>
  </si>
  <si>
    <t>INTENSE COLOR VEGANA  - Louro Ultraclaro Cinza Profundo 12.111</t>
  </si>
  <si>
    <t>INTENSE COLOR VEGANA  - Super Clareador 00S</t>
  </si>
  <si>
    <t>INTENSE COLOR VEGANA  - Azul Intenso 0.88</t>
  </si>
  <si>
    <t>CARTELA DE MECHAS (MECHA DE CABELO)</t>
  </si>
  <si>
    <t>FOLDER DE MECHAS (SERIGRAFIA)</t>
  </si>
  <si>
    <t>MINI - LEAVE-IN INFUSION OIL 30 ML - 2 DISPLAY (C/30 UNIDADES CADA)</t>
  </si>
  <si>
    <t>SHAMPOO FRIZZ ZERO 300 ML</t>
  </si>
  <si>
    <t>CONDICIONADOR FRIZZ ZERO 300 ML</t>
  </si>
  <si>
    <t>MÁSCARA FRIZZ ZERO 300 G</t>
  </si>
  <si>
    <t>MÁSCARA FRIZZ ZERO 500 G</t>
  </si>
  <si>
    <r>
      <t xml:space="preserve">FLUID SHINE PARFUM 200 ML   </t>
    </r>
    <r>
      <rPr>
        <b/>
        <sz val="8"/>
        <color theme="1"/>
        <rFont val="Arial"/>
        <family val="2"/>
      </rPr>
      <t>N°1</t>
    </r>
  </si>
  <si>
    <r>
      <t xml:space="preserve">FLUID SHINE PARFUM 60 ML     </t>
    </r>
    <r>
      <rPr>
        <b/>
        <sz val="8"/>
        <color theme="1"/>
        <rFont val="Arial"/>
        <family val="2"/>
      </rPr>
      <t>N°1</t>
    </r>
  </si>
  <si>
    <t xml:space="preserve">CAMISAS </t>
  </si>
  <si>
    <t xml:space="preserve">CAMISA MASCULINA PRETA- Tam. P </t>
  </si>
  <si>
    <t xml:space="preserve">CAMISA MASCULINA PRETA- Tam. M  </t>
  </si>
  <si>
    <t xml:space="preserve">CAMISA MASCULINA PRETA- Tam. G </t>
  </si>
  <si>
    <t xml:space="preserve">CAMISA MASCULINA PRETA- Tam. GG  </t>
  </si>
  <si>
    <t xml:space="preserve">CAMISA MASCULINA PRETA- Tam. XG  </t>
  </si>
  <si>
    <t xml:space="preserve">CAMISA MASCULINA BRANCA- Tam. P    </t>
  </si>
  <si>
    <t xml:space="preserve">CAMISA MASCULINA BRANCA- Tam. G   </t>
  </si>
  <si>
    <t xml:space="preserve">CAMISA MASCULINA BRANCA- Tam. GG   </t>
  </si>
  <si>
    <t xml:space="preserve">CAMISA MASCULINA BRANCA- Tam. XG  </t>
  </si>
  <si>
    <t xml:space="preserve">CAMISA MASCULINA GOLA POLO PRETA- Tam. P </t>
  </si>
  <si>
    <t xml:space="preserve">CAMISA MASCULINA GOLA POLO PRETA- Tam. M  </t>
  </si>
  <si>
    <t xml:space="preserve">CAMISA MASCULINA GOLA POLO PRETA- Tam. G </t>
  </si>
  <si>
    <t xml:space="preserve">CAMISA MASCULINA GOLA POLO PRETA- Tam. GG  </t>
  </si>
  <si>
    <t xml:space="preserve">CAMISA MASCULINA GOLA POLO PRETA- Tam. XG  </t>
  </si>
  <si>
    <t xml:space="preserve">CAMISA FEMININA PRETA- Tam. 38 (P)  </t>
  </si>
  <si>
    <t xml:space="preserve">CAMISA FEMININA PRETA- Tam. 40 (M)  </t>
  </si>
  <si>
    <t xml:space="preserve">CAMISA FEMININA PRETA- Tam. 42 (G)  </t>
  </si>
  <si>
    <t xml:space="preserve">CAMISA FEMININA PRETA- Tam. 44 (GG)  </t>
  </si>
  <si>
    <t xml:space="preserve">CAMISA FEMININA PRETA- Tam. 46 (XG)  </t>
  </si>
  <si>
    <t xml:space="preserve">CAMISA FEMININA GOLA POLO PRETA- Tam. 38 (P)  </t>
  </si>
  <si>
    <t xml:space="preserve">CAMISA FEMININA GOLA POLO PRETA- Tam. 40 (M)  </t>
  </si>
  <si>
    <t xml:space="preserve">CAMISA FEMININA GOLA POLO PRETA- Tam. 42 (G)  </t>
  </si>
  <si>
    <t xml:space="preserve">CAMISA FEMININA GOLA POLO PRETA- Tam. 44 (GG)  </t>
  </si>
  <si>
    <t xml:space="preserve">CAMISA FEMININA GOLA POLO PRETA- Tam. 46 (XG)  </t>
  </si>
  <si>
    <t xml:space="preserve">CAMISA MASCULINA BRANCA- Tam. M   </t>
  </si>
  <si>
    <t xml:space="preserve">CAMISA FEMININA BRANCA- Tam. 38(P)   </t>
  </si>
  <si>
    <t xml:space="preserve">CAMISA FEMININA BRANCA- Tam. 40(M)    </t>
  </si>
  <si>
    <t xml:space="preserve">CAMISA FEMININA BRANCA- Tam. 42(G)     </t>
  </si>
  <si>
    <t xml:space="preserve">CAMISA FEMININA BRANCA- Tam. 44(GG)     </t>
  </si>
  <si>
    <t xml:space="preserve">CAMISA FEMININA BRANCA- Tam. 46(EG)     </t>
  </si>
  <si>
    <r>
      <t xml:space="preserve">FLUID SHINE PARFUM 200 ML  </t>
    </r>
    <r>
      <rPr>
        <b/>
        <sz val="8"/>
        <color theme="1"/>
        <rFont val="Arial"/>
        <family val="2"/>
      </rPr>
      <t xml:space="preserve"> N°2</t>
    </r>
  </si>
  <si>
    <r>
      <t xml:space="preserve">FLUID SHINE PARFUM 60 ML     </t>
    </r>
    <r>
      <rPr>
        <b/>
        <sz val="8"/>
        <color theme="1"/>
        <rFont val="Arial"/>
        <family val="2"/>
      </rPr>
      <t>N°2</t>
    </r>
  </si>
  <si>
    <r>
      <rPr>
        <b/>
        <sz val="8"/>
        <rFont val="Arial"/>
        <family val="2"/>
      </rPr>
      <t xml:space="preserve">REFIL </t>
    </r>
    <r>
      <rPr>
        <sz val="8"/>
        <rFont val="Arial"/>
        <family val="2"/>
      </rPr>
      <t>SHAMPOO VEGAN DAY BY DAY 3,1 L</t>
    </r>
  </si>
  <si>
    <r>
      <rPr>
        <b/>
        <sz val="8"/>
        <rFont val="Arial"/>
        <family val="2"/>
      </rPr>
      <t>REFIL</t>
    </r>
    <r>
      <rPr>
        <sz val="8"/>
        <rFont val="Arial"/>
        <family val="2"/>
      </rPr>
      <t xml:space="preserve"> CONDICIONADOR VEGAN DAY BY DAY 3,1 L</t>
    </r>
  </si>
  <si>
    <t>SACOLA DE TNT ROSÊ</t>
  </si>
  <si>
    <t>SACOLA DE TNT BEGE</t>
  </si>
  <si>
    <t>SOFT OIL FRIZZ ZERO 50 ML</t>
  </si>
  <si>
    <t>DUO SACHÊ INFUSION (SHAMPOO E CONDICIONADOR) 60 UNIDADES</t>
  </si>
  <si>
    <t>TRIO SACHÊ MATRIX (SHAMPOO, CONDICIONADOR E MÁSCARA) 35 UNIDADES</t>
  </si>
  <si>
    <t>MINI BISNAGA - DEFRIZANTE DUAL COMPLEX 20 ML (CAIXA COM 100 UND)</t>
  </si>
  <si>
    <t xml:space="preserve">SACHÊ LUXE OIL 5 ML (70 UNIDADES) </t>
  </si>
  <si>
    <t>BI-REDENSIFC ÓLEO BIFÁSICO 60 ML</t>
  </si>
  <si>
    <t>AGENDA 2026 (PEDIDO SOB ENCOMENDA)</t>
  </si>
  <si>
    <t>MINI X-TREME ELIXIR 30 ML - 2 DISPLAY (C/30 UNIDADES CADA)</t>
  </si>
  <si>
    <t xml:space="preserve">SHAMPOO FRIZZ ZERO 1000 ML </t>
  </si>
  <si>
    <t>MÁSCARA FRIZZ ZERO 1 KG</t>
  </si>
  <si>
    <t>MÁSCARA DAY BY DAY 1000 G</t>
  </si>
  <si>
    <t>BOLSA DE ACADEMIA ERIK KENED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</si>
</sst>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_-[$R$-416]\ * #,##0.00_-;\-[$R$-416]\ * #,##0.00_-;_-[$R$-416]\ * &quot;-&quot;??_-;_-@_-"/>
    <numFmt numFmtId="167" formatCode="_(&quot;R$ &quot;* #,##0.00_);_(&quot;R$ &quot;* \(#,##0.00\);_(&quot;R$ &quot;* &quot;-&quot;??_);_(@_)"/>
    <numFmt numFmtId="168" formatCode="_(* #,##0.00_);_(* \(#,##0.00\);_(* &quot;-&quot;??_);_(@_)"/>
    <numFmt numFmtId="169" formatCode="0.0%"/>
    <numFmt numFmtId="170" formatCode="&quot;R$&quot;\ #,##0.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name val="Calibri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8"/>
      <color rgb="FFFF0000"/>
      <name val="Arial"/>
      <family val="2"/>
    </font>
    <font>
      <b/>
      <sz val="8"/>
      <color rgb="FF000000"/>
      <name val="Arial"/>
      <family val="2"/>
    </font>
    <font>
      <sz val="8"/>
      <color rgb="FFFFFF00"/>
      <name val="Arial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sz val="8"/>
      <color indexed="13"/>
      <name val="Arial"/>
      <family val="2"/>
    </font>
    <font>
      <b/>
      <sz val="9"/>
      <color theme="0"/>
      <name val="Arial"/>
      <family val="2"/>
    </font>
    <font>
      <sz val="11"/>
      <color theme="1"/>
      <name val="Calibri1"/>
    </font>
    <font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0"/>
      <name val="Arial"/>
      <family val="2"/>
    </font>
    <font>
      <b/>
      <u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9"/>
      <color theme="1"/>
      <name val="Arial"/>
      <family val="2"/>
    </font>
    <font>
      <sz val="9"/>
      <name val="Calibri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9"/>
      <name val="Calibri"/>
      <family val="2"/>
    </font>
    <font>
      <b/>
      <sz val="22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4EE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68D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279"/>
        <bgColor indexed="64"/>
      </patternFill>
    </fill>
    <fill>
      <patternFill patternType="solid">
        <fgColor rgb="FFFF53A9"/>
        <bgColor indexed="64"/>
      </patternFill>
    </fill>
    <fill>
      <patternFill patternType="solid">
        <fgColor rgb="FFFF7415"/>
        <bgColor indexed="64"/>
      </patternFill>
    </fill>
    <fill>
      <patternFill patternType="solid">
        <fgColor rgb="FFCC967E"/>
        <bgColor indexed="64"/>
      </patternFill>
    </fill>
    <fill>
      <patternFill patternType="solid">
        <fgColor rgb="FFE6E1BC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97D7FF"/>
        <bgColor indexed="64"/>
      </patternFill>
    </fill>
    <fill>
      <patternFill patternType="solid">
        <fgColor rgb="FFED6449"/>
        <bgColor indexed="64"/>
      </patternFill>
    </fill>
    <fill>
      <patternFill patternType="solid">
        <fgColor rgb="FFF8A45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3FFD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rgb="FF90713A"/>
      </patternFill>
    </fill>
    <fill>
      <patternFill patternType="solid">
        <fgColor theme="0"/>
        <bgColor indexed="64"/>
      </patternFill>
    </fill>
    <fill>
      <patternFill patternType="solid">
        <fgColor rgb="FFE2A6E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2DCDB"/>
        <bgColor indexed="64"/>
      </patternFill>
    </fill>
    <fill>
      <patternFill patternType="solid">
        <fgColor rgb="FFCCECFF"/>
        <bgColor rgb="FF000000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7" fillId="0" borderId="0" applyBorder="0">
      <protection locked="0"/>
    </xf>
    <xf numFmtId="44" fontId="6" fillId="0" borderId="0" applyBorder="0">
      <protection locked="0"/>
    </xf>
    <xf numFmtId="0" fontId="7" fillId="0" borderId="0" applyBorder="0">
      <protection locked="0"/>
    </xf>
    <xf numFmtId="167" fontId="7" fillId="0" borderId="0" applyBorder="0">
      <protection locked="0"/>
    </xf>
    <xf numFmtId="0" fontId="18" fillId="0" borderId="0" applyNumberFormat="0" applyFill="0" applyBorder="0" applyProtection="0">
      <alignment vertical="center"/>
    </xf>
    <xf numFmtId="9" fontId="1" fillId="0" borderId="0" applyFont="0" applyFill="0" applyBorder="0" applyAlignment="0" applyProtection="0"/>
    <xf numFmtId="44" fontId="6" fillId="0" borderId="0" applyBorder="0">
      <protection locked="0"/>
    </xf>
  </cellStyleXfs>
  <cellXfs count="264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16" borderId="3" xfId="2" applyFont="1" applyFill="1" applyBorder="1" applyAlignment="1" applyProtection="1">
      <alignment horizontal="center" vertical="center"/>
    </xf>
    <xf numFmtId="0" fontId="9" fillId="7" borderId="3" xfId="0" applyFont="1" applyFill="1" applyBorder="1" applyAlignment="1">
      <alignment horizontal="justify" vertical="center" wrapText="1"/>
    </xf>
    <xf numFmtId="0" fontId="9" fillId="10" borderId="3" xfId="0" applyFont="1" applyFill="1" applyBorder="1" applyAlignment="1">
      <alignment horizontal="justify" vertical="center" wrapText="1"/>
    </xf>
    <xf numFmtId="0" fontId="9" fillId="12" borderId="3" xfId="0" applyFont="1" applyFill="1" applyBorder="1" applyAlignment="1">
      <alignment horizontal="justify" vertical="center" wrapText="1"/>
    </xf>
    <xf numFmtId="0" fontId="9" fillId="13" borderId="3" xfId="0" applyFont="1" applyFill="1" applyBorder="1" applyAlignment="1">
      <alignment horizontal="justify" vertical="center" wrapText="1"/>
    </xf>
    <xf numFmtId="0" fontId="9" fillId="9" borderId="3" xfId="0" applyFont="1" applyFill="1" applyBorder="1" applyAlignment="1">
      <alignment horizontal="justify" vertical="center" wrapText="1"/>
    </xf>
    <xf numFmtId="0" fontId="9" fillId="14" borderId="3" xfId="0" applyFont="1" applyFill="1" applyBorder="1" applyAlignment="1">
      <alignment horizontal="justify" vertical="center" wrapText="1"/>
    </xf>
    <xf numFmtId="0" fontId="15" fillId="15" borderId="7" xfId="0" applyFont="1" applyFill="1" applyBorder="1" applyAlignment="1">
      <alignment horizontal="justify" vertical="center" wrapText="1"/>
    </xf>
    <xf numFmtId="0" fontId="15" fillId="20" borderId="3" xfId="2" applyFont="1" applyFill="1" applyBorder="1" applyAlignment="1" applyProtection="1">
      <alignment vertical="center"/>
    </xf>
    <xf numFmtId="0" fontId="8" fillId="20" borderId="3" xfId="2" applyFont="1" applyFill="1" applyBorder="1" applyAlignment="1" applyProtection="1">
      <alignment vertical="center"/>
    </xf>
    <xf numFmtId="0" fontId="9" fillId="21" borderId="3" xfId="0" applyFont="1" applyFill="1" applyBorder="1" applyAlignment="1">
      <alignment horizontal="justify" vertical="center" wrapText="1"/>
    </xf>
    <xf numFmtId="0" fontId="9" fillId="22" borderId="3" xfId="0" applyFont="1" applyFill="1" applyBorder="1" applyAlignment="1">
      <alignment horizontal="justify" vertical="center" wrapText="1"/>
    </xf>
    <xf numFmtId="0" fontId="9" fillId="23" borderId="3" xfId="0" applyFont="1" applyFill="1" applyBorder="1" applyAlignment="1">
      <alignment horizontal="justify" vertical="center" wrapText="1"/>
    </xf>
    <xf numFmtId="0" fontId="9" fillId="24" borderId="3" xfId="0" applyFont="1" applyFill="1" applyBorder="1" applyAlignment="1">
      <alignment horizontal="justify" vertical="center" wrapText="1"/>
    </xf>
    <xf numFmtId="0" fontId="9" fillId="8" borderId="3" xfId="0" applyFont="1" applyFill="1" applyBorder="1" applyAlignment="1">
      <alignment horizontal="justify" vertical="center" wrapText="1"/>
    </xf>
    <xf numFmtId="0" fontId="2" fillId="8" borderId="3" xfId="0" applyFont="1" applyFill="1" applyBorder="1" applyAlignment="1">
      <alignment horizontal="justify" vertical="center" wrapText="1"/>
    </xf>
    <xf numFmtId="0" fontId="4" fillId="25" borderId="3" xfId="0" applyFont="1" applyFill="1" applyBorder="1" applyAlignment="1">
      <alignment horizontal="justify" vertical="center" wrapText="1"/>
    </xf>
    <xf numFmtId="0" fontId="4" fillId="26" borderId="3" xfId="0" applyFont="1" applyFill="1" applyBorder="1" applyAlignment="1">
      <alignment horizontal="justify" vertical="center" wrapText="1"/>
    </xf>
    <xf numFmtId="0" fontId="9" fillId="27" borderId="3" xfId="0" applyFont="1" applyFill="1" applyBorder="1" applyAlignment="1">
      <alignment horizontal="justify" vertical="center" wrapText="1"/>
    </xf>
    <xf numFmtId="0" fontId="9" fillId="28" borderId="3" xfId="0" applyFont="1" applyFill="1" applyBorder="1" applyAlignment="1">
      <alignment horizontal="justify" vertical="center" wrapText="1"/>
    </xf>
    <xf numFmtId="0" fontId="9" fillId="29" borderId="7" xfId="0" applyFont="1" applyFill="1" applyBorder="1" applyAlignment="1">
      <alignment horizontal="justify" vertical="center" wrapText="1"/>
    </xf>
    <xf numFmtId="0" fontId="9" fillId="30" borderId="7" xfId="0" applyFont="1" applyFill="1" applyBorder="1" applyAlignment="1">
      <alignment horizontal="justify" vertical="center" wrapText="1"/>
    </xf>
    <xf numFmtId="0" fontId="9" fillId="31" borderId="3" xfId="0" applyFont="1" applyFill="1" applyBorder="1" applyAlignment="1">
      <alignment horizontal="justify" vertical="center" wrapText="1"/>
    </xf>
    <xf numFmtId="0" fontId="9" fillId="32" borderId="3" xfId="0" applyFont="1" applyFill="1" applyBorder="1" applyAlignment="1">
      <alignment horizontal="justify" vertical="center" wrapText="1"/>
    </xf>
    <xf numFmtId="0" fontId="9" fillId="34" borderId="3" xfId="0" applyFont="1" applyFill="1" applyBorder="1" applyAlignment="1">
      <alignment horizontal="justify" vertical="center" wrapText="1"/>
    </xf>
    <xf numFmtId="0" fontId="2" fillId="7" borderId="3" xfId="0" applyFont="1" applyFill="1" applyBorder="1" applyAlignment="1">
      <alignment horizontal="justify" vertical="center" wrapText="1"/>
    </xf>
    <xf numFmtId="0" fontId="15" fillId="15" borderId="3" xfId="0" applyFont="1" applyFill="1" applyBorder="1" applyAlignment="1">
      <alignment horizontal="justify" vertical="center" wrapText="1"/>
    </xf>
    <xf numFmtId="0" fontId="9" fillId="0" borderId="3" xfId="0" applyFont="1" applyBorder="1" applyAlignment="1">
      <alignment horizontal="left" vertical="center" wrapText="1"/>
    </xf>
    <xf numFmtId="0" fontId="8" fillId="13" borderId="3" xfId="2" applyFont="1" applyFill="1" applyBorder="1" applyAlignment="1" applyProtection="1">
      <alignment horizontal="center" vertical="center"/>
    </xf>
    <xf numFmtId="0" fontId="9" fillId="17" borderId="6" xfId="0" applyFont="1" applyFill="1" applyBorder="1" applyAlignment="1">
      <alignment horizontal="left" vertical="center" wrapText="1"/>
    </xf>
    <xf numFmtId="0" fontId="9" fillId="17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left" vertical="center" wrapText="1"/>
    </xf>
    <xf numFmtId="0" fontId="9" fillId="18" borderId="3" xfId="0" applyFont="1" applyFill="1" applyBorder="1" applyAlignment="1">
      <alignment horizontal="left" vertical="center" wrapText="1"/>
    </xf>
    <xf numFmtId="0" fontId="9" fillId="35" borderId="3" xfId="0" applyFont="1" applyFill="1" applyBorder="1" applyAlignment="1">
      <alignment horizontal="left" vertical="center" wrapText="1"/>
    </xf>
    <xf numFmtId="0" fontId="15" fillId="36" borderId="7" xfId="4" applyFont="1" applyFill="1" applyBorder="1" applyAlignment="1" applyProtection="1">
      <alignment horizontal="left" vertical="center"/>
    </xf>
    <xf numFmtId="0" fontId="15" fillId="36" borderId="7" xfId="4" applyFont="1" applyFill="1" applyBorder="1" applyAlignment="1" applyProtection="1">
      <alignment vertical="center"/>
    </xf>
    <xf numFmtId="0" fontId="15" fillId="36" borderId="7" xfId="2" applyFont="1" applyFill="1" applyBorder="1" applyAlignment="1" applyProtection="1">
      <alignment vertical="center"/>
    </xf>
    <xf numFmtId="0" fontId="14" fillId="33" borderId="3" xfId="2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0" fontId="9" fillId="40" borderId="3" xfId="0" applyFont="1" applyFill="1" applyBorder="1" applyAlignment="1">
      <alignment horizontal="left" vertical="center" wrapText="1"/>
    </xf>
    <xf numFmtId="0" fontId="9" fillId="41" borderId="3" xfId="0" applyFont="1" applyFill="1" applyBorder="1" applyAlignment="1">
      <alignment horizontal="left" vertical="center" wrapText="1"/>
    </xf>
    <xf numFmtId="166" fontId="15" fillId="36" borderId="6" xfId="3" applyNumberFormat="1" applyFont="1" applyFill="1" applyBorder="1" applyAlignment="1" applyProtection="1">
      <alignment vertical="center"/>
    </xf>
    <xf numFmtId="0" fontId="14" fillId="33" borderId="7" xfId="2" applyFont="1" applyFill="1" applyBorder="1" applyAlignment="1" applyProtection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9" fillId="0" borderId="0" xfId="0" applyFont="1"/>
    <xf numFmtId="44" fontId="26" fillId="0" borderId="0" xfId="3" applyFont="1" applyBorder="1" applyAlignment="1" applyProtection="1">
      <alignment horizontal="center" vertical="center"/>
    </xf>
    <xf numFmtId="0" fontId="25" fillId="0" borderId="3" xfId="0" applyFont="1" applyBorder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44" fontId="32" fillId="5" borderId="3" xfId="3" applyFont="1" applyFill="1" applyBorder="1" applyAlignment="1" applyProtection="1">
      <alignment horizontal="center" vertical="center"/>
    </xf>
    <xf numFmtId="167" fontId="32" fillId="5" borderId="3" xfId="2" applyNumberFormat="1" applyFont="1" applyFill="1" applyBorder="1" applyAlignment="1" applyProtection="1">
      <alignment horizontal="center" vertical="center"/>
    </xf>
    <xf numFmtId="170" fontId="33" fillId="0" borderId="3" xfId="3" applyNumberFormat="1" applyFont="1" applyBorder="1" applyAlignment="1">
      <alignment horizontal="center" vertical="center"/>
      <protection locked="0"/>
    </xf>
    <xf numFmtId="167" fontId="33" fillId="0" borderId="3" xfId="0" applyNumberFormat="1" applyFont="1" applyBorder="1" applyAlignment="1">
      <alignment horizontal="center" vertical="center"/>
    </xf>
    <xf numFmtId="170" fontId="33" fillId="0" borderId="3" xfId="0" applyNumberFormat="1" applyFont="1" applyBorder="1" applyAlignment="1">
      <alignment horizontal="center" vertical="center"/>
    </xf>
    <xf numFmtId="0" fontId="17" fillId="38" borderId="4" xfId="0" applyFont="1" applyFill="1" applyBorder="1" applyAlignment="1">
      <alignment horizontal="center" vertical="center" wrapText="1"/>
    </xf>
    <xf numFmtId="0" fontId="17" fillId="37" borderId="4" xfId="0" applyFont="1" applyFill="1" applyBorder="1" applyAlignment="1">
      <alignment horizontal="center" vertical="center" wrapText="1"/>
    </xf>
    <xf numFmtId="44" fontId="14" fillId="37" borderId="8" xfId="3" applyFont="1" applyFill="1" applyBorder="1" applyAlignment="1" applyProtection="1">
      <alignment horizontal="center" vertical="center" wrapText="1"/>
    </xf>
    <xf numFmtId="0" fontId="17" fillId="37" borderId="8" xfId="1" applyNumberFormat="1" applyFont="1" applyFill="1" applyBorder="1" applyAlignment="1" applyProtection="1">
      <alignment horizontal="center" vertical="center" wrapText="1"/>
    </xf>
    <xf numFmtId="0" fontId="21" fillId="37" borderId="4" xfId="1" applyNumberFormat="1" applyFont="1" applyFill="1" applyBorder="1" applyAlignment="1" applyProtection="1">
      <alignment horizontal="center" vertical="center" wrapText="1"/>
    </xf>
    <xf numFmtId="0" fontId="17" fillId="38" borderId="9" xfId="0" applyFont="1" applyFill="1" applyBorder="1" applyAlignment="1">
      <alignment horizontal="center" vertical="center" wrapText="1"/>
    </xf>
    <xf numFmtId="0" fontId="14" fillId="37" borderId="8" xfId="2" applyFont="1" applyFill="1" applyBorder="1" applyAlignment="1" applyProtection="1">
      <alignment horizontal="center" vertical="center" wrapText="1"/>
    </xf>
    <xf numFmtId="0" fontId="14" fillId="33" borderId="8" xfId="2" applyFont="1" applyFill="1" applyBorder="1" applyAlignment="1" applyProtection="1">
      <alignment horizontal="center" vertical="center" wrapText="1"/>
    </xf>
    <xf numFmtId="166" fontId="15" fillId="36" borderId="3" xfId="3" applyNumberFormat="1" applyFont="1" applyFill="1" applyBorder="1" applyAlignment="1" applyProtection="1">
      <alignment vertical="center"/>
    </xf>
    <xf numFmtId="166" fontId="24" fillId="0" borderId="0" xfId="0" applyNumberFormat="1" applyFont="1" applyAlignment="1">
      <alignment horizontal="center" vertical="center"/>
    </xf>
    <xf numFmtId="0" fontId="15" fillId="36" borderId="3" xfId="2" applyFont="1" applyFill="1" applyBorder="1" applyAlignment="1" applyProtection="1">
      <alignment vertical="center"/>
    </xf>
    <xf numFmtId="0" fontId="12" fillId="4" borderId="0" xfId="0" applyFont="1" applyFill="1" applyAlignment="1">
      <alignment horizontal="center" vertical="center" wrapText="1"/>
    </xf>
    <xf numFmtId="166" fontId="15" fillId="36" borderId="3" xfId="2" applyNumberFormat="1" applyFont="1" applyFill="1" applyBorder="1" applyAlignment="1" applyProtection="1">
      <alignment vertical="center"/>
    </xf>
    <xf numFmtId="0" fontId="21" fillId="33" borderId="4" xfId="1" applyNumberFormat="1" applyFont="1" applyFill="1" applyBorder="1" applyAlignment="1" applyProtection="1">
      <alignment horizontal="center" vertical="center" wrapText="1"/>
    </xf>
    <xf numFmtId="0" fontId="8" fillId="44" borderId="3" xfId="2" applyFont="1" applyFill="1" applyBorder="1" applyAlignment="1" applyProtection="1">
      <alignment horizontal="center" vertical="center"/>
    </xf>
    <xf numFmtId="0" fontId="2" fillId="44" borderId="3" xfId="2" applyFont="1" applyFill="1" applyBorder="1" applyAlignment="1" applyProtection="1">
      <alignment horizontal="center" vertical="center"/>
    </xf>
    <xf numFmtId="0" fontId="2" fillId="12" borderId="3" xfId="0" applyFont="1" applyFill="1" applyBorder="1" applyAlignment="1">
      <alignment horizontal="justify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8" fillId="21" borderId="3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44" fontId="14" fillId="33" borderId="3" xfId="3" applyFont="1" applyFill="1" applyBorder="1" applyAlignment="1" applyProtection="1">
      <alignment horizontal="center" vertical="center" wrapText="1"/>
    </xf>
    <xf numFmtId="0" fontId="15" fillId="21" borderId="3" xfId="0" applyFont="1" applyFill="1" applyBorder="1" applyAlignment="1">
      <alignment vertical="center"/>
    </xf>
    <xf numFmtId="0" fontId="15" fillId="22" borderId="3" xfId="0" applyFont="1" applyFill="1" applyBorder="1" applyAlignment="1">
      <alignment vertical="center"/>
    </xf>
    <xf numFmtId="0" fontId="15" fillId="9" borderId="3" xfId="0" applyFont="1" applyFill="1" applyBorder="1" applyAlignment="1">
      <alignment vertical="center"/>
    </xf>
    <xf numFmtId="0" fontId="15" fillId="30" borderId="7" xfId="0" applyFont="1" applyFill="1" applyBorder="1" applyAlignment="1">
      <alignment vertical="center"/>
    </xf>
    <xf numFmtId="0" fontId="15" fillId="36" borderId="7" xfId="0" applyFont="1" applyFill="1" applyBorder="1" applyAlignment="1">
      <alignment vertical="center"/>
    </xf>
    <xf numFmtId="0" fontId="34" fillId="45" borderId="3" xfId="2" applyFont="1" applyFill="1" applyBorder="1" applyAlignment="1" applyProtection="1">
      <alignment horizontal="center" vertical="center"/>
    </xf>
    <xf numFmtId="0" fontId="35" fillId="46" borderId="7" xfId="0" applyFont="1" applyFill="1" applyBorder="1" applyAlignment="1">
      <alignment vertical="center"/>
    </xf>
    <xf numFmtId="0" fontId="34" fillId="47" borderId="3" xfId="5" applyNumberFormat="1" applyFont="1" applyFill="1" applyBorder="1" applyAlignment="1" applyProtection="1">
      <alignment horizontal="center" vertical="center"/>
    </xf>
    <xf numFmtId="44" fontId="35" fillId="46" borderId="3" xfId="3" applyFont="1" applyFill="1" applyBorder="1" applyAlignment="1" applyProtection="1">
      <alignment vertical="center"/>
    </xf>
    <xf numFmtId="0" fontId="35" fillId="48" borderId="7" xfId="2" applyFont="1" applyFill="1" applyBorder="1" applyAlignment="1" applyProtection="1">
      <alignment vertical="center"/>
    </xf>
    <xf numFmtId="44" fontId="35" fillId="48" borderId="3" xfId="3" applyFont="1" applyFill="1" applyBorder="1" applyAlignment="1" applyProtection="1">
      <alignment vertical="center"/>
    </xf>
    <xf numFmtId="0" fontId="35" fillId="49" borderId="7" xfId="0" applyFont="1" applyFill="1" applyBorder="1" applyAlignment="1">
      <alignment vertical="center"/>
    </xf>
    <xf numFmtId="44" fontId="35" fillId="49" borderId="3" xfId="3" applyFont="1" applyFill="1" applyBorder="1" applyAlignment="1" applyProtection="1">
      <alignment vertical="center"/>
    </xf>
    <xf numFmtId="0" fontId="35" fillId="50" borderId="7" xfId="0" applyFont="1" applyFill="1" applyBorder="1" applyAlignment="1">
      <alignment vertical="center"/>
    </xf>
    <xf numFmtId="44" fontId="35" fillId="50" borderId="3" xfId="3" applyFont="1" applyFill="1" applyBorder="1" applyAlignment="1" applyProtection="1">
      <alignment vertical="center"/>
    </xf>
    <xf numFmtId="0" fontId="35" fillId="51" borderId="7" xfId="2" applyFont="1" applyFill="1" applyBorder="1" applyAlignment="1" applyProtection="1">
      <alignment vertical="center"/>
    </xf>
    <xf numFmtId="44" fontId="35" fillId="51" borderId="3" xfId="3" applyFont="1" applyFill="1" applyBorder="1" applyAlignment="1" applyProtection="1">
      <alignment vertical="center"/>
    </xf>
    <xf numFmtId="0" fontId="35" fillId="52" borderId="7" xfId="0" applyFont="1" applyFill="1" applyBorder="1" applyAlignment="1">
      <alignment vertical="center"/>
    </xf>
    <xf numFmtId="44" fontId="35" fillId="52" borderId="3" xfId="3" applyFont="1" applyFill="1" applyBorder="1" applyAlignment="1" applyProtection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170" fontId="31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0" fontId="12" fillId="0" borderId="3" xfId="0" applyFont="1" applyBorder="1"/>
    <xf numFmtId="0" fontId="34" fillId="47" borderId="6" xfId="5" applyNumberFormat="1" applyFont="1" applyFill="1" applyBorder="1" applyAlignment="1" applyProtection="1">
      <alignment horizontal="center" vertical="center"/>
    </xf>
    <xf numFmtId="0" fontId="26" fillId="4" borderId="0" xfId="5" applyNumberFormat="1" applyFont="1" applyFill="1" applyBorder="1" applyAlignment="1" applyProtection="1">
      <alignment horizontal="center" vertical="center"/>
    </xf>
    <xf numFmtId="0" fontId="35" fillId="52" borderId="12" xfId="0" applyFont="1" applyFill="1" applyBorder="1" applyAlignment="1">
      <alignment vertical="center"/>
    </xf>
    <xf numFmtId="0" fontId="35" fillId="52" borderId="3" xfId="0" applyFont="1" applyFill="1" applyBorder="1" applyAlignment="1">
      <alignment vertical="center"/>
    </xf>
    <xf numFmtId="0" fontId="8" fillId="22" borderId="3" xfId="0" applyFont="1" applyFill="1" applyBorder="1" applyAlignment="1">
      <alignment vertical="center"/>
    </xf>
    <xf numFmtId="166" fontId="8" fillId="22" borderId="3" xfId="2" applyNumberFormat="1" applyFont="1" applyFill="1" applyBorder="1" applyAlignment="1" applyProtection="1">
      <alignment vertical="center"/>
    </xf>
    <xf numFmtId="0" fontId="9" fillId="53" borderId="3" xfId="0" applyFont="1" applyFill="1" applyBorder="1" applyAlignment="1">
      <alignment horizontal="justify" vertical="center" wrapText="1"/>
    </xf>
    <xf numFmtId="166" fontId="15" fillId="53" borderId="3" xfId="2" applyNumberFormat="1" applyFont="1" applyFill="1" applyBorder="1" applyAlignment="1" applyProtection="1">
      <alignment vertical="center"/>
    </xf>
    <xf numFmtId="0" fontId="8" fillId="4" borderId="3" xfId="5" applyNumberFormat="1" applyFont="1" applyFill="1" applyBorder="1" applyAlignment="1" applyProtection="1">
      <alignment horizontal="center" vertical="center"/>
    </xf>
    <xf numFmtId="166" fontId="15" fillId="20" borderId="3" xfId="3" applyNumberFormat="1" applyFont="1" applyFill="1" applyBorder="1" applyAlignment="1" applyProtection="1">
      <alignment vertical="center"/>
    </xf>
    <xf numFmtId="166" fontId="9" fillId="20" borderId="3" xfId="3" applyNumberFormat="1" applyFont="1" applyFill="1" applyBorder="1" applyAlignment="1" applyProtection="1">
      <alignment vertical="center"/>
    </xf>
    <xf numFmtId="166" fontId="2" fillId="20" borderId="3" xfId="3" applyNumberFormat="1" applyFont="1" applyFill="1" applyBorder="1" applyAlignment="1" applyProtection="1">
      <alignment vertical="center"/>
    </xf>
    <xf numFmtId="166" fontId="15" fillId="21" borderId="3" xfId="3" applyNumberFormat="1" applyFont="1" applyFill="1" applyBorder="1" applyAlignment="1" applyProtection="1">
      <alignment vertical="center"/>
    </xf>
    <xf numFmtId="166" fontId="15" fillId="21" borderId="3" xfId="2" applyNumberFormat="1" applyFont="1" applyFill="1" applyBorder="1" applyAlignment="1" applyProtection="1">
      <alignment vertical="center"/>
    </xf>
    <xf numFmtId="166" fontId="8" fillId="21" borderId="3" xfId="3" applyNumberFormat="1" applyFont="1" applyFill="1" applyBorder="1" applyAlignment="1" applyProtection="1">
      <alignment vertical="center"/>
    </xf>
    <xf numFmtId="166" fontId="15" fillId="22" borderId="3" xfId="3" applyNumberFormat="1" applyFont="1" applyFill="1" applyBorder="1" applyAlignment="1" applyProtection="1">
      <alignment vertical="center"/>
    </xf>
    <xf numFmtId="166" fontId="15" fillId="23" borderId="3" xfId="3" applyNumberFormat="1" applyFont="1" applyFill="1" applyBorder="1" applyAlignment="1" applyProtection="1">
      <alignment vertical="center"/>
    </xf>
    <xf numFmtId="166" fontId="15" fillId="24" borderId="3" xfId="3" applyNumberFormat="1" applyFont="1" applyFill="1" applyBorder="1" applyAlignment="1" applyProtection="1">
      <alignment vertical="center"/>
    </xf>
    <xf numFmtId="166" fontId="15" fillId="8" borderId="3" xfId="2" applyNumberFormat="1" applyFont="1" applyFill="1" applyBorder="1" applyAlignment="1" applyProtection="1">
      <alignment vertical="center"/>
    </xf>
    <xf numFmtId="166" fontId="15" fillId="8" borderId="3" xfId="3" applyNumberFormat="1" applyFont="1" applyFill="1" applyBorder="1" applyAlignment="1" applyProtection="1">
      <alignment vertical="center"/>
    </xf>
    <xf numFmtId="166" fontId="8" fillId="8" borderId="3" xfId="3" applyNumberFormat="1" applyFont="1" applyFill="1" applyBorder="1" applyAlignment="1" applyProtection="1">
      <alignment vertical="center"/>
    </xf>
    <xf numFmtId="166" fontId="15" fillId="9" borderId="3" xfId="3" applyNumberFormat="1" applyFont="1" applyFill="1" applyBorder="1" applyAlignment="1" applyProtection="1">
      <alignment vertical="center"/>
    </xf>
    <xf numFmtId="166" fontId="15" fillId="25" borderId="3" xfId="3" applyNumberFormat="1" applyFont="1" applyFill="1" applyBorder="1" applyAlignment="1" applyProtection="1">
      <alignment vertical="center"/>
    </xf>
    <xf numFmtId="166" fontId="15" fillId="26" borderId="3" xfId="3" applyNumberFormat="1" applyFont="1" applyFill="1" applyBorder="1" applyAlignment="1" applyProtection="1">
      <alignment vertical="center"/>
    </xf>
    <xf numFmtId="166" fontId="15" fillId="10" borderId="3" xfId="3" applyNumberFormat="1" applyFont="1" applyFill="1" applyBorder="1" applyAlignment="1" applyProtection="1">
      <alignment vertical="center"/>
    </xf>
    <xf numFmtId="166" fontId="15" fillId="27" borderId="3" xfId="3" applyNumberFormat="1" applyFont="1" applyFill="1" applyBorder="1" applyAlignment="1" applyProtection="1">
      <alignment vertical="center"/>
    </xf>
    <xf numFmtId="166" fontId="8" fillId="12" borderId="3" xfId="2" applyNumberFormat="1" applyFont="1" applyFill="1" applyBorder="1" applyAlignment="1" applyProtection="1">
      <alignment vertical="center"/>
    </xf>
    <xf numFmtId="166" fontId="15" fillId="12" borderId="3" xfId="3" applyNumberFormat="1" applyFont="1" applyFill="1" applyBorder="1" applyAlignment="1" applyProtection="1">
      <alignment vertical="center"/>
    </xf>
    <xf numFmtId="166" fontId="15" fillId="28" borderId="3" xfId="3" applyNumberFormat="1" applyFont="1" applyFill="1" applyBorder="1" applyAlignment="1" applyProtection="1">
      <alignment vertical="center"/>
    </xf>
    <xf numFmtId="166" fontId="15" fillId="29" borderId="3" xfId="3" applyNumberFormat="1" applyFont="1" applyFill="1" applyBorder="1" applyAlignment="1" applyProtection="1">
      <alignment vertical="center"/>
    </xf>
    <xf numFmtId="166" fontId="15" fillId="30" borderId="3" xfId="3" applyNumberFormat="1" applyFont="1" applyFill="1" applyBorder="1" applyAlignment="1" applyProtection="1">
      <alignment vertical="center"/>
    </xf>
    <xf numFmtId="166" fontId="15" fillId="13" borderId="3" xfId="3" applyNumberFormat="1" applyFont="1" applyFill="1" applyBorder="1" applyAlignment="1" applyProtection="1">
      <alignment vertical="center"/>
    </xf>
    <xf numFmtId="166" fontId="15" fillId="6" borderId="3" xfId="3" applyNumberFormat="1" applyFont="1" applyFill="1" applyBorder="1" applyAlignment="1" applyProtection="1">
      <alignment vertical="center"/>
    </xf>
    <xf numFmtId="166" fontId="15" fillId="7" borderId="3" xfId="3" applyNumberFormat="1" applyFont="1" applyFill="1" applyBorder="1" applyAlignment="1" applyProtection="1">
      <alignment vertical="center"/>
    </xf>
    <xf numFmtId="166" fontId="15" fillId="31" borderId="3" xfId="3" applyNumberFormat="1" applyFont="1" applyFill="1" applyBorder="1" applyAlignment="1" applyProtection="1">
      <alignment vertical="center"/>
    </xf>
    <xf numFmtId="166" fontId="15" fillId="32" borderId="3" xfId="3" applyNumberFormat="1" applyFont="1" applyFill="1" applyBorder="1" applyAlignment="1" applyProtection="1">
      <alignment vertical="center"/>
    </xf>
    <xf numFmtId="166" fontId="15" fillId="34" borderId="3" xfId="3" applyNumberFormat="1" applyFont="1" applyFill="1" applyBorder="1" applyAlignment="1" applyProtection="1">
      <alignment vertical="center"/>
    </xf>
    <xf numFmtId="166" fontId="8" fillId="7" borderId="3" xfId="3" applyNumberFormat="1" applyFont="1" applyFill="1" applyBorder="1" applyAlignment="1" applyProtection="1">
      <alignment vertical="center"/>
    </xf>
    <xf numFmtId="166" fontId="15" fillId="14" borderId="3" xfId="3" applyNumberFormat="1" applyFont="1" applyFill="1" applyBorder="1" applyAlignment="1" applyProtection="1">
      <alignment vertical="center"/>
    </xf>
    <xf numFmtId="166" fontId="15" fillId="15" borderId="3" xfId="3" applyNumberFormat="1" applyFont="1" applyFill="1" applyBorder="1" applyAlignment="1" applyProtection="1">
      <alignment vertical="center"/>
    </xf>
    <xf numFmtId="166" fontId="15" fillId="19" borderId="3" xfId="2" applyNumberFormat="1" applyFont="1" applyFill="1" applyBorder="1" applyAlignment="1" applyProtection="1">
      <alignment vertical="center"/>
    </xf>
    <xf numFmtId="166" fontId="15" fillId="17" borderId="3" xfId="3" applyNumberFormat="1" applyFont="1" applyFill="1" applyBorder="1" applyAlignment="1" applyProtection="1">
      <alignment vertical="center"/>
    </xf>
    <xf numFmtId="166" fontId="15" fillId="11" borderId="3" xfId="3" applyNumberFormat="1" applyFont="1" applyFill="1" applyBorder="1" applyAlignment="1" applyProtection="1">
      <alignment vertical="center"/>
    </xf>
    <xf numFmtId="166" fontId="15" fillId="40" borderId="3" xfId="3" applyNumberFormat="1" applyFont="1" applyFill="1" applyBorder="1" applyAlignment="1" applyProtection="1">
      <alignment vertical="center"/>
    </xf>
    <xf numFmtId="166" fontId="15" fillId="43" borderId="3" xfId="3" applyNumberFormat="1" applyFont="1" applyFill="1" applyBorder="1" applyAlignment="1" applyProtection="1">
      <alignment vertical="center"/>
    </xf>
    <xf numFmtId="166" fontId="15" fillId="18" borderId="3" xfId="3" applyNumberFormat="1" applyFont="1" applyFill="1" applyBorder="1" applyAlignment="1" applyProtection="1">
      <alignment vertical="center"/>
    </xf>
    <xf numFmtId="167" fontId="32" fillId="0" borderId="3" xfId="2" applyNumberFormat="1" applyFont="1" applyBorder="1" applyAlignment="1" applyProtection="1">
      <alignment horizontal="center" vertical="center" wrapText="1"/>
    </xf>
    <xf numFmtId="44" fontId="32" fillId="0" borderId="3" xfId="3" applyFont="1" applyBorder="1" applyAlignment="1" applyProtection="1">
      <alignment horizontal="center" vertical="center"/>
    </xf>
    <xf numFmtId="167" fontId="32" fillId="0" borderId="3" xfId="2" applyNumberFormat="1" applyFont="1" applyBorder="1" applyAlignment="1" applyProtection="1">
      <alignment horizontal="center" vertical="center"/>
    </xf>
    <xf numFmtId="167" fontId="27" fillId="0" borderId="3" xfId="2" applyNumberFormat="1" applyFont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10" fillId="0" borderId="2" xfId="0" applyNumberFormat="1" applyFont="1" applyBorder="1" applyAlignment="1">
      <alignment horizontal="center" vertical="center"/>
    </xf>
    <xf numFmtId="169" fontId="10" fillId="0" borderId="2" xfId="0" applyNumberFormat="1" applyFont="1" applyBorder="1" applyAlignment="1">
      <alignment horizontal="center" vertical="center"/>
    </xf>
    <xf numFmtId="10" fontId="9" fillId="39" borderId="3" xfId="0" applyNumberFormat="1" applyFont="1" applyFill="1" applyBorder="1" applyAlignment="1">
      <alignment horizontal="center" vertical="center"/>
    </xf>
    <xf numFmtId="43" fontId="10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6" fontId="4" fillId="0" borderId="3" xfId="3" applyNumberFormat="1" applyFont="1" applyBorder="1" applyAlignment="1" applyProtection="1">
      <alignment vertical="center"/>
    </xf>
    <xf numFmtId="168" fontId="4" fillId="0" borderId="3" xfId="0" applyNumberFormat="1" applyFont="1" applyBorder="1" applyAlignment="1">
      <alignment vertical="center"/>
    </xf>
    <xf numFmtId="169" fontId="9" fillId="39" borderId="3" xfId="0" applyNumberFormat="1" applyFont="1" applyFill="1" applyBorder="1" applyAlignment="1">
      <alignment horizontal="center" vertical="center"/>
    </xf>
    <xf numFmtId="0" fontId="15" fillId="21" borderId="3" xfId="2" applyFont="1" applyFill="1" applyBorder="1" applyAlignment="1" applyProtection="1">
      <alignment vertical="center"/>
    </xf>
    <xf numFmtId="0" fontId="15" fillId="22" borderId="3" xfId="2" applyFont="1" applyFill="1" applyBorder="1" applyAlignment="1" applyProtection="1">
      <alignment vertical="center"/>
    </xf>
    <xf numFmtId="0" fontId="15" fillId="23" borderId="3" xfId="2" applyFont="1" applyFill="1" applyBorder="1" applyAlignment="1" applyProtection="1">
      <alignment vertical="center"/>
    </xf>
    <xf numFmtId="0" fontId="15" fillId="24" borderId="3" xfId="2" applyFont="1" applyFill="1" applyBorder="1" applyAlignment="1" applyProtection="1">
      <alignment vertical="center"/>
    </xf>
    <xf numFmtId="0" fontId="15" fillId="8" borderId="3" xfId="2" applyFont="1" applyFill="1" applyBorder="1" applyAlignment="1" applyProtection="1">
      <alignment vertical="center"/>
    </xf>
    <xf numFmtId="166" fontId="4" fillId="0" borderId="3" xfId="0" applyNumberFormat="1" applyFont="1" applyBorder="1" applyAlignment="1">
      <alignment vertical="center"/>
    </xf>
    <xf numFmtId="0" fontId="15" fillId="9" borderId="3" xfId="2" applyFont="1" applyFill="1" applyBorder="1" applyAlignment="1" applyProtection="1">
      <alignment vertical="center"/>
    </xf>
    <xf numFmtId="0" fontId="15" fillId="25" borderId="3" xfId="2" applyFont="1" applyFill="1" applyBorder="1" applyAlignment="1" applyProtection="1">
      <alignment vertical="center"/>
    </xf>
    <xf numFmtId="0" fontId="15" fillId="26" borderId="3" xfId="2" applyFont="1" applyFill="1" applyBorder="1" applyAlignment="1" applyProtection="1">
      <alignment vertical="center"/>
    </xf>
    <xf numFmtId="0" fontId="15" fillId="10" borderId="3" xfId="2" applyFont="1" applyFill="1" applyBorder="1" applyAlignment="1" applyProtection="1">
      <alignment vertical="center"/>
    </xf>
    <xf numFmtId="0" fontId="15" fillId="27" borderId="3" xfId="2" applyFont="1" applyFill="1" applyBorder="1" applyAlignment="1" applyProtection="1">
      <alignment vertical="center"/>
    </xf>
    <xf numFmtId="9" fontId="9" fillId="0" borderId="3" xfId="7" applyFont="1" applyBorder="1" applyAlignment="1">
      <alignment horizontal="center" vertical="center"/>
    </xf>
    <xf numFmtId="0" fontId="15" fillId="12" borderId="3" xfId="2" applyFont="1" applyFill="1" applyBorder="1" applyAlignment="1" applyProtection="1">
      <alignment vertical="center"/>
    </xf>
    <xf numFmtId="0" fontId="15" fillId="28" borderId="3" xfId="2" applyFont="1" applyFill="1" applyBorder="1" applyAlignment="1" applyProtection="1">
      <alignment vertical="center"/>
    </xf>
    <xf numFmtId="9" fontId="9" fillId="39" borderId="3" xfId="7" applyFont="1" applyFill="1" applyBorder="1" applyAlignment="1">
      <alignment horizontal="center" vertical="center"/>
    </xf>
    <xf numFmtId="0" fontId="15" fillId="29" borderId="3" xfId="2" applyFont="1" applyFill="1" applyBorder="1" applyAlignment="1" applyProtection="1">
      <alignment vertical="center"/>
    </xf>
    <xf numFmtId="0" fontId="15" fillId="30" borderId="3" xfId="2" applyFont="1" applyFill="1" applyBorder="1" applyAlignment="1" applyProtection="1">
      <alignment vertical="center"/>
    </xf>
    <xf numFmtId="0" fontId="15" fillId="13" borderId="3" xfId="2" applyFont="1" applyFill="1" applyBorder="1" applyAlignment="1" applyProtection="1">
      <alignment vertical="center"/>
    </xf>
    <xf numFmtId="0" fontId="15" fillId="7" borderId="3" xfId="2" applyFont="1" applyFill="1" applyBorder="1" applyAlignment="1" applyProtection="1">
      <alignment vertical="center"/>
    </xf>
    <xf numFmtId="0" fontId="15" fillId="31" borderId="3" xfId="2" applyFont="1" applyFill="1" applyBorder="1" applyAlignment="1" applyProtection="1">
      <alignment vertical="center"/>
    </xf>
    <xf numFmtId="0" fontId="15" fillId="32" borderId="3" xfId="2" applyFont="1" applyFill="1" applyBorder="1" applyAlignment="1" applyProtection="1">
      <alignment vertical="center"/>
    </xf>
    <xf numFmtId="0" fontId="15" fillId="53" borderId="3" xfId="2" applyFont="1" applyFill="1" applyBorder="1" applyAlignment="1" applyProtection="1">
      <alignment vertical="center"/>
    </xf>
    <xf numFmtId="0" fontId="15" fillId="34" borderId="3" xfId="2" applyFont="1" applyFill="1" applyBorder="1" applyAlignment="1" applyProtection="1">
      <alignment vertical="center"/>
    </xf>
    <xf numFmtId="0" fontId="15" fillId="14" borderId="3" xfId="2" applyFont="1" applyFill="1" applyBorder="1" applyAlignment="1" applyProtection="1">
      <alignment vertical="center"/>
    </xf>
    <xf numFmtId="0" fontId="15" fillId="15" borderId="3" xfId="2" applyFont="1" applyFill="1" applyBorder="1" applyAlignment="1" applyProtection="1">
      <alignment vertical="center"/>
    </xf>
    <xf numFmtId="0" fontId="11" fillId="0" borderId="3" xfId="0" applyFont="1" applyBorder="1" applyAlignment="1">
      <alignment vertical="center"/>
    </xf>
    <xf numFmtId="0" fontId="15" fillId="42" borderId="3" xfId="2" applyFont="1" applyFill="1" applyBorder="1" applyAlignment="1" applyProtection="1">
      <alignment vertical="center"/>
    </xf>
    <xf numFmtId="0" fontId="15" fillId="19" borderId="3" xfId="2" applyFont="1" applyFill="1" applyBorder="1" applyAlignment="1" applyProtection="1">
      <alignment vertical="center"/>
    </xf>
    <xf numFmtId="0" fontId="15" fillId="0" borderId="3" xfId="2" applyFont="1" applyBorder="1" applyAlignment="1" applyProtection="1">
      <alignment vertical="center"/>
    </xf>
    <xf numFmtId="0" fontId="15" fillId="0" borderId="6" xfId="2" applyFont="1" applyBorder="1" applyAlignment="1" applyProtection="1">
      <alignment vertical="center"/>
    </xf>
    <xf numFmtId="168" fontId="4" fillId="0" borderId="6" xfId="0" applyNumberFormat="1" applyFont="1" applyBorder="1" applyAlignment="1">
      <alignment vertical="center"/>
    </xf>
    <xf numFmtId="0" fontId="15" fillId="17" borderId="3" xfId="2" applyFont="1" applyFill="1" applyBorder="1" applyAlignment="1" applyProtection="1">
      <alignment vertical="center"/>
    </xf>
    <xf numFmtId="0" fontId="15" fillId="6" borderId="3" xfId="2" applyFont="1" applyFill="1" applyBorder="1" applyAlignment="1" applyProtection="1">
      <alignment vertical="center"/>
    </xf>
    <xf numFmtId="0" fontId="15" fillId="11" borderId="3" xfId="2" applyFont="1" applyFill="1" applyBorder="1" applyAlignment="1" applyProtection="1">
      <alignment vertical="center"/>
    </xf>
    <xf numFmtId="0" fontId="15" fillId="40" borderId="3" xfId="2" applyFont="1" applyFill="1" applyBorder="1" applyAlignment="1" applyProtection="1">
      <alignment vertical="center"/>
    </xf>
    <xf numFmtId="0" fontId="15" fillId="41" borderId="3" xfId="2" applyFont="1" applyFill="1" applyBorder="1" applyAlignment="1" applyProtection="1">
      <alignment vertical="center"/>
    </xf>
    <xf numFmtId="0" fontId="15" fillId="18" borderId="3" xfId="2" applyFont="1" applyFill="1" applyBorder="1" applyAlignment="1" applyProtection="1">
      <alignment vertical="center"/>
    </xf>
    <xf numFmtId="0" fontId="15" fillId="35" borderId="3" xfId="2" applyFont="1" applyFill="1" applyBorder="1" applyAlignment="1" applyProtection="1">
      <alignment vertical="center"/>
    </xf>
    <xf numFmtId="0" fontId="9" fillId="0" borderId="3" xfId="0" applyFont="1" applyBorder="1" applyAlignment="1">
      <alignment horizontal="center" vertical="center"/>
    </xf>
    <xf numFmtId="0" fontId="9" fillId="39" borderId="3" xfId="0" applyFont="1" applyFill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3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6" fontId="10" fillId="0" borderId="11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166" fontId="29" fillId="0" borderId="0" xfId="0" applyNumberFormat="1" applyFont="1" applyAlignment="1">
      <alignment vertical="center"/>
    </xf>
    <xf numFmtId="168" fontId="29" fillId="0" borderId="0" xfId="0" applyNumberFormat="1" applyFont="1" applyAlignment="1">
      <alignment vertical="center"/>
    </xf>
    <xf numFmtId="43" fontId="26" fillId="0" borderId="0" xfId="1" applyNumberFormat="1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vertical="center"/>
    </xf>
    <xf numFmtId="164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6" fontId="15" fillId="54" borderId="3" xfId="3" applyNumberFormat="1" applyFont="1" applyFill="1" applyBorder="1" applyAlignment="1" applyProtection="1">
      <alignment vertical="center"/>
    </xf>
    <xf numFmtId="165" fontId="4" fillId="0" borderId="0" xfId="0" applyNumberFormat="1" applyFont="1" applyAlignment="1">
      <alignment vertical="center"/>
    </xf>
    <xf numFmtId="0" fontId="2" fillId="0" borderId="3" xfId="0" applyFont="1" applyBorder="1" applyAlignment="1">
      <alignment vertical="center"/>
    </xf>
    <xf numFmtId="166" fontId="8" fillId="21" borderId="3" xfId="2" applyNumberFormat="1" applyFont="1" applyFill="1" applyBorder="1" applyAlignment="1" applyProtection="1">
      <alignment vertical="center"/>
    </xf>
    <xf numFmtId="0" fontId="12" fillId="25" borderId="3" xfId="0" applyFont="1" applyFill="1" applyBorder="1" applyAlignment="1">
      <alignment horizontal="justify" vertical="center" wrapText="1"/>
    </xf>
    <xf numFmtId="166" fontId="15" fillId="25" borderId="3" xfId="2" applyNumberFormat="1" applyFont="1" applyFill="1" applyBorder="1" applyAlignment="1" applyProtection="1">
      <alignment vertical="center"/>
    </xf>
    <xf numFmtId="0" fontId="8" fillId="36" borderId="7" xfId="4" applyFont="1" applyFill="1" applyBorder="1" applyAlignment="1" applyProtection="1">
      <alignment horizontal="left" vertical="center"/>
    </xf>
    <xf numFmtId="166" fontId="15" fillId="36" borderId="6" xfId="8" applyNumberFormat="1" applyFont="1" applyFill="1" applyBorder="1" applyAlignment="1" applyProtection="1">
      <alignment vertical="center"/>
    </xf>
    <xf numFmtId="0" fontId="8" fillId="13" borderId="7" xfId="4" applyFont="1" applyFill="1" applyBorder="1" applyAlignment="1" applyProtection="1">
      <alignment horizontal="center" vertical="center"/>
    </xf>
    <xf numFmtId="0" fontId="8" fillId="13" borderId="10" xfId="4" applyFont="1" applyFill="1" applyBorder="1" applyAlignment="1" applyProtection="1">
      <alignment horizontal="center" vertical="center"/>
    </xf>
    <xf numFmtId="0" fontId="32" fillId="5" borderId="3" xfId="1" applyNumberFormat="1" applyFont="1" applyFill="1" applyBorder="1" applyAlignment="1" applyProtection="1">
      <alignment horizontal="center" vertical="center"/>
    </xf>
    <xf numFmtId="166" fontId="36" fillId="0" borderId="3" xfId="1" applyNumberFormat="1" applyFont="1" applyBorder="1" applyAlignment="1" applyProtection="1">
      <alignment horizontal="center" vertical="center"/>
    </xf>
    <xf numFmtId="0" fontId="36" fillId="0" borderId="3" xfId="1" applyNumberFormat="1" applyFont="1" applyBorder="1" applyAlignment="1" applyProtection="1">
      <alignment horizontal="center" vertical="center"/>
    </xf>
    <xf numFmtId="0" fontId="26" fillId="0" borderId="0" xfId="0" applyFont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 wrapText="1"/>
    </xf>
    <xf numFmtId="166" fontId="15" fillId="15" borderId="3" xfId="2" applyNumberFormat="1" applyFont="1" applyFill="1" applyBorder="1" applyAlignment="1" applyProtection="1">
      <alignment vertical="center"/>
    </xf>
    <xf numFmtId="0" fontId="4" fillId="3" borderId="0" xfId="0" applyFont="1" applyFill="1" applyBorder="1" applyAlignment="1">
      <alignment horizontal="center" vertical="center"/>
    </xf>
  </cellXfs>
  <cellStyles count="9">
    <cellStyle name="Default" xfId="6" xr:uid="{33BB0B4B-C5B1-42F0-9D78-3DA0F0D445B6}"/>
    <cellStyle name="Moeda" xfId="1" builtinId="4"/>
    <cellStyle name="Moeda 3" xfId="5" xr:uid="{B5B1ABB9-F29E-420B-B373-038AD85D3DB5}"/>
    <cellStyle name="Moeda 4" xfId="3" xr:uid="{2099203E-9B32-4CD9-AFE4-8A8BFBB22C43}"/>
    <cellStyle name="Moeda 5" xfId="8" xr:uid="{CBD738DB-0AE3-4572-923A-D9BB5EF64860}"/>
    <cellStyle name="Normal" xfId="0" builtinId="0"/>
    <cellStyle name="Normal 2" xfId="4" xr:uid="{E80590AF-272C-4433-BDDD-54CC6B544B18}"/>
    <cellStyle name="Normal 3" xfId="2" xr:uid="{1A01CBA2-8FED-4AA7-8AAF-5C8545A51AA7}"/>
    <cellStyle name="Porcentagem" xfId="7" builtinId="5"/>
  </cellStyles>
  <dxfs count="0"/>
  <tableStyles count="0" defaultTableStyle="TableStyleMedium2" defaultPivotStyle="PivotStyleLight16"/>
  <colors>
    <mruColors>
      <color rgb="FFFFAFAF"/>
      <color rgb="FFE6B8B7"/>
      <color rgb="FFB1A0C7"/>
      <color rgb="FF9F818C"/>
      <color rgb="FFF2DCDB"/>
      <color rgb="FFFB85EA"/>
      <color rgb="FFE4DFEC"/>
      <color rgb="FF94DC94"/>
      <color rgb="FFC4F4DA"/>
      <color rgb="FFFFAD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441961</xdr:colOff>
      <xdr:row>0</xdr:row>
      <xdr:rowOff>57150</xdr:rowOff>
    </xdr:from>
    <xdr:ext cx="558164" cy="1790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A75526F-6DC0-4DC8-9D50-CA5712C7539B}"/>
            </a:ext>
          </a:extLst>
        </xdr:cNvPr>
        <xdr:cNvSpPr/>
      </xdr:nvSpPr>
      <xdr:spPr>
        <a:xfrm>
          <a:off x="9957436" y="57150"/>
          <a:ext cx="558164" cy="17907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0</xdr:col>
      <xdr:colOff>161926</xdr:colOff>
      <xdr:row>0</xdr:row>
      <xdr:rowOff>95250</xdr:rowOff>
    </xdr:from>
    <xdr:to>
      <xdr:col>1</xdr:col>
      <xdr:colOff>1143001</xdr:colOff>
      <xdr:row>0</xdr:row>
      <xdr:rowOff>482401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577F456-2EFE-4AE6-9534-A825BE8E7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95250"/>
          <a:ext cx="1314450" cy="387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1DBC-F17C-4D1C-847E-4F4737CE42B9}">
  <dimension ref="A1:AP1057"/>
  <sheetViews>
    <sheetView tabSelected="1" zoomScaleNormal="100" workbookViewId="0">
      <selection activeCell="C13" sqref="C13"/>
    </sheetView>
  </sheetViews>
  <sheetFormatPr defaultColWidth="14.42578125" defaultRowHeight="11.25"/>
  <cols>
    <col min="1" max="1" width="5" style="2" bestFit="1" customWidth="1"/>
    <col min="2" max="2" width="60.140625" style="2" customWidth="1"/>
    <col min="3" max="3" width="9.28515625" style="2" customWidth="1"/>
    <col min="4" max="4" width="13.28515625" style="10" bestFit="1" customWidth="1"/>
    <col min="5" max="5" width="13.28515625" style="10" customWidth="1"/>
    <col min="6" max="6" width="11.140625" style="10" customWidth="1"/>
    <col min="7" max="7" width="9" style="10" hidden="1" customWidth="1"/>
    <col min="8" max="8" width="10.42578125" style="10" hidden="1" customWidth="1"/>
    <col min="9" max="9" width="14.28515625" style="10" hidden="1" customWidth="1"/>
    <col min="10" max="10" width="9.85546875" style="10" hidden="1" customWidth="1"/>
    <col min="11" max="11" width="11" style="10" hidden="1" customWidth="1"/>
    <col min="12" max="12" width="10" style="10" hidden="1" customWidth="1"/>
    <col min="13" max="13" width="11.28515625" style="10" hidden="1" customWidth="1"/>
    <col min="14" max="14" width="10" style="10" hidden="1" customWidth="1"/>
    <col min="15" max="15" width="12.42578125" style="10" hidden="1" customWidth="1"/>
    <col min="16" max="16" width="10.5703125" style="10" hidden="1" customWidth="1"/>
    <col min="17" max="17" width="7.5703125" style="10" bestFit="1" customWidth="1"/>
    <col min="18" max="18" width="11.5703125" style="10" customWidth="1"/>
    <col min="19" max="19" width="12.28515625" style="10" customWidth="1"/>
    <col min="20" max="20" width="7" style="10" customWidth="1"/>
    <col min="21" max="21" width="7.140625" style="2" customWidth="1"/>
    <col min="22" max="22" width="15.7109375" style="2" customWidth="1"/>
    <col min="23" max="23" width="8.85546875" style="2" customWidth="1"/>
    <col min="24" max="24" width="15.7109375" style="2" customWidth="1"/>
    <col min="25" max="25" width="9.42578125" style="2" customWidth="1"/>
    <col min="26" max="26" width="9.28515625" style="2" customWidth="1"/>
    <col min="27" max="27" width="17.42578125" style="2" customWidth="1"/>
    <col min="28" max="42" width="11.42578125" style="2" customWidth="1"/>
    <col min="43" max="16384" width="14.42578125" style="2"/>
  </cols>
  <sheetData>
    <row r="1" spans="1:42" ht="39.950000000000003" customHeight="1">
      <c r="A1" s="254"/>
      <c r="B1" s="254"/>
      <c r="C1" s="254"/>
      <c r="D1" s="254"/>
      <c r="E1" s="254"/>
      <c r="F1" s="254"/>
    </row>
    <row r="2" spans="1:42" ht="20.100000000000001" customHeight="1">
      <c r="A2" s="255" t="s">
        <v>236</v>
      </c>
      <c r="B2" s="255"/>
      <c r="C2" s="255"/>
      <c r="D2" s="255"/>
      <c r="E2" s="255"/>
      <c r="F2" s="255"/>
    </row>
    <row r="3" spans="1:42" ht="20.100000000000001" customHeight="1">
      <c r="A3" s="256" t="s">
        <v>237</v>
      </c>
      <c r="B3" s="256"/>
      <c r="C3" s="256"/>
      <c r="D3" s="256"/>
      <c r="E3" s="256"/>
      <c r="F3" s="256"/>
    </row>
    <row r="4" spans="1:42" ht="20.100000000000001" customHeight="1">
      <c r="A4" s="256" t="s">
        <v>238</v>
      </c>
      <c r="B4" s="256"/>
      <c r="C4" s="256"/>
      <c r="D4" s="256"/>
      <c r="E4" s="256"/>
      <c r="F4" s="256"/>
    </row>
    <row r="5" spans="1:42" ht="20.100000000000001" customHeight="1">
      <c r="A5" s="258" t="s">
        <v>239</v>
      </c>
      <c r="B5" s="259"/>
      <c r="C5" s="259"/>
      <c r="D5" s="259"/>
      <c r="E5" s="259"/>
      <c r="F5" s="260"/>
    </row>
    <row r="6" spans="1:42" ht="20.100000000000001" customHeight="1">
      <c r="A6" s="257" t="s">
        <v>0</v>
      </c>
      <c r="B6" s="257"/>
      <c r="C6" s="257"/>
      <c r="D6" s="257"/>
      <c r="E6" s="257"/>
      <c r="F6" s="257"/>
    </row>
    <row r="7" spans="1:42" ht="20.100000000000001" hidden="1" customHeight="1">
      <c r="A7" s="257" t="s">
        <v>1</v>
      </c>
      <c r="B7" s="257"/>
      <c r="C7" s="257" t="s">
        <v>2</v>
      </c>
      <c r="D7" s="257"/>
      <c r="E7" s="257"/>
      <c r="F7" s="257"/>
    </row>
    <row r="8" spans="1:42" ht="20.100000000000001" hidden="1" customHeight="1">
      <c r="A8" s="261" t="s">
        <v>3</v>
      </c>
      <c r="B8" s="261"/>
      <c r="C8" s="261"/>
      <c r="D8" s="261"/>
      <c r="E8" s="261"/>
      <c r="F8" s="261"/>
    </row>
    <row r="9" spans="1:42" ht="20.100000000000001" hidden="1" customHeight="1">
      <c r="A9" s="257" t="s">
        <v>4</v>
      </c>
      <c r="B9" s="257"/>
      <c r="C9" s="257" t="s">
        <v>5</v>
      </c>
      <c r="D9" s="257"/>
      <c r="E9" s="257"/>
      <c r="F9" s="257"/>
    </row>
    <row r="10" spans="1:42" ht="20.100000000000001" hidden="1" customHeight="1">
      <c r="A10" s="257" t="s">
        <v>240</v>
      </c>
      <c r="B10" s="257"/>
      <c r="C10" s="257"/>
      <c r="D10" s="257"/>
      <c r="E10" s="257"/>
      <c r="F10" s="257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175"/>
      <c r="U10" s="176"/>
      <c r="V10" s="176"/>
      <c r="W10" s="176"/>
      <c r="X10" s="176"/>
      <c r="Y10" s="176"/>
      <c r="Z10" s="176"/>
      <c r="AA10" s="176"/>
      <c r="AB10" s="176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" customHeight="1">
      <c r="A11" s="253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176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29.1" customHeight="1">
      <c r="A12" s="79" t="s">
        <v>225</v>
      </c>
      <c r="B12" s="79" t="s">
        <v>7</v>
      </c>
      <c r="C12" s="80" t="s">
        <v>224</v>
      </c>
      <c r="D12" s="81" t="s">
        <v>8</v>
      </c>
      <c r="E12" s="82" t="s">
        <v>90</v>
      </c>
      <c r="F12" s="81" t="s">
        <v>229</v>
      </c>
      <c r="G12" s="82" t="s">
        <v>9</v>
      </c>
      <c r="H12" s="82" t="s">
        <v>10</v>
      </c>
      <c r="I12" s="82" t="s">
        <v>11</v>
      </c>
      <c r="J12" s="92" t="s">
        <v>231</v>
      </c>
      <c r="K12" s="83" t="s">
        <v>232</v>
      </c>
      <c r="L12" s="82" t="s">
        <v>12</v>
      </c>
      <c r="M12" s="82" t="s">
        <v>13</v>
      </c>
      <c r="N12" s="82" t="s">
        <v>14</v>
      </c>
      <c r="O12" s="82" t="s">
        <v>233</v>
      </c>
      <c r="P12" s="82" t="s">
        <v>230</v>
      </c>
      <c r="Q12" s="82" t="s">
        <v>15</v>
      </c>
      <c r="R12" s="82" t="s">
        <v>16</v>
      </c>
      <c r="S12" s="82" t="s">
        <v>234</v>
      </c>
      <c r="T12" s="84" t="s">
        <v>17</v>
      </c>
      <c r="U12" s="85" t="s">
        <v>18</v>
      </c>
      <c r="V12" s="86" t="s">
        <v>226</v>
      </c>
      <c r="W12" s="86" t="s">
        <v>227</v>
      </c>
      <c r="X12" s="86" t="s">
        <v>228</v>
      </c>
      <c r="Y12" s="86" t="s">
        <v>227</v>
      </c>
      <c r="Z12" s="85" t="s">
        <v>19</v>
      </c>
      <c r="AA12" s="85" t="s">
        <v>20</v>
      </c>
      <c r="AB12" s="176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21.95" customHeight="1">
      <c r="A13" s="11">
        <v>8002</v>
      </c>
      <c r="B13" s="19" t="s">
        <v>129</v>
      </c>
      <c r="C13" s="51"/>
      <c r="D13" s="134">
        <v>57.099599999999995</v>
      </c>
      <c r="E13" s="177">
        <f>D13*C13</f>
        <v>0</v>
      </c>
      <c r="F13" s="177">
        <f>E13+R13</f>
        <v>0</v>
      </c>
      <c r="G13" s="58"/>
      <c r="H13" s="177"/>
      <c r="I13" s="59">
        <v>7.0000000000000007E-2</v>
      </c>
      <c r="J13" s="59"/>
      <c r="K13" s="177">
        <f>N13*J13</f>
        <v>0</v>
      </c>
      <c r="L13" s="178">
        <v>0.20499999999999999</v>
      </c>
      <c r="M13" s="177"/>
      <c r="N13" s="177"/>
      <c r="O13" s="177">
        <f>(N13*L13-M13)+K13</f>
        <v>0</v>
      </c>
      <c r="P13" s="177">
        <f>E13+O13</f>
        <v>0</v>
      </c>
      <c r="Q13" s="179">
        <v>4.5499999999999999E-2</v>
      </c>
      <c r="R13" s="180">
        <f>E13*Q13</f>
        <v>0</v>
      </c>
      <c r="S13" s="180">
        <f>E13+R13+O13</f>
        <v>0</v>
      </c>
      <c r="T13" s="181">
        <f>C13/U13</f>
        <v>0</v>
      </c>
      <c r="U13" s="19">
        <v>12</v>
      </c>
      <c r="V13" s="182"/>
      <c r="W13" s="182"/>
      <c r="X13" s="182"/>
      <c r="Y13" s="182"/>
      <c r="Z13" s="183">
        <v>183.64500000000001</v>
      </c>
      <c r="AA13" s="184" t="s">
        <v>217</v>
      </c>
      <c r="AB13" s="176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21.95" customHeight="1">
      <c r="A14" s="11">
        <v>8019</v>
      </c>
      <c r="B14" s="19" t="s">
        <v>130</v>
      </c>
      <c r="C14" s="51"/>
      <c r="D14" s="134">
        <v>106.08</v>
      </c>
      <c r="E14" s="177">
        <f t="shared" ref="E14:E84" si="0">D14*C14</f>
        <v>0</v>
      </c>
      <c r="F14" s="177">
        <f>E14+R14</f>
        <v>0</v>
      </c>
      <c r="G14" s="58"/>
      <c r="H14" s="177"/>
      <c r="I14" s="59">
        <v>7.0000000000000007E-2</v>
      </c>
      <c r="J14" s="59"/>
      <c r="K14" s="177">
        <f t="shared" ref="K14:K90" si="1">N14*J14</f>
        <v>0</v>
      </c>
      <c r="L14" s="178">
        <v>0.20499999999999999</v>
      </c>
      <c r="M14" s="177"/>
      <c r="N14" s="177"/>
      <c r="O14" s="177">
        <f t="shared" ref="O14:O90" si="2">(N14*L14-M14)+K14</f>
        <v>0</v>
      </c>
      <c r="P14" s="177">
        <f t="shared" ref="P14:P90" si="3">E14+O14</f>
        <v>0</v>
      </c>
      <c r="Q14" s="185">
        <v>0.14299999999999999</v>
      </c>
      <c r="R14" s="180">
        <f t="shared" ref="R14:R84" si="4">E14*Q14</f>
        <v>0</v>
      </c>
      <c r="S14" s="180">
        <f t="shared" ref="S14:S90" si="5">E14+R14+O14</f>
        <v>0</v>
      </c>
      <c r="T14" s="181">
        <f t="shared" ref="T14:T84" si="6">C14/U14</f>
        <v>0</v>
      </c>
      <c r="U14" s="19">
        <v>12</v>
      </c>
      <c r="V14" s="182"/>
      <c r="W14" s="182"/>
      <c r="X14" s="182"/>
      <c r="Y14" s="182"/>
      <c r="Z14" s="183">
        <v>359.20500000000004</v>
      </c>
      <c r="AA14" s="184" t="s">
        <v>217</v>
      </c>
      <c r="AB14" s="176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21.95" customHeight="1">
      <c r="A15" s="11">
        <v>8026</v>
      </c>
      <c r="B15" s="19" t="s">
        <v>131</v>
      </c>
      <c r="C15" s="51"/>
      <c r="D15" s="134">
        <v>53.04</v>
      </c>
      <c r="E15" s="177">
        <f t="shared" si="0"/>
        <v>0</v>
      </c>
      <c r="F15" s="177">
        <f t="shared" ref="F15:F90" si="7">E15+R15</f>
        <v>0</v>
      </c>
      <c r="G15" s="58"/>
      <c r="H15" s="177"/>
      <c r="I15" s="59">
        <v>7.0000000000000007E-2</v>
      </c>
      <c r="J15" s="59"/>
      <c r="K15" s="177">
        <f t="shared" si="1"/>
        <v>0</v>
      </c>
      <c r="L15" s="178">
        <v>0.20499999999999999</v>
      </c>
      <c r="M15" s="177"/>
      <c r="N15" s="177"/>
      <c r="O15" s="177">
        <f t="shared" si="2"/>
        <v>0</v>
      </c>
      <c r="P15" s="177">
        <f t="shared" si="3"/>
        <v>0</v>
      </c>
      <c r="Q15" s="185">
        <v>0.14299999999999999</v>
      </c>
      <c r="R15" s="180">
        <f t="shared" si="4"/>
        <v>0</v>
      </c>
      <c r="S15" s="180">
        <f t="shared" si="5"/>
        <v>0</v>
      </c>
      <c r="T15" s="181">
        <f t="shared" si="6"/>
        <v>0</v>
      </c>
      <c r="U15" s="19">
        <v>12</v>
      </c>
      <c r="V15" s="182"/>
      <c r="W15" s="182"/>
      <c r="X15" s="182"/>
      <c r="Y15" s="182"/>
      <c r="Z15" s="183">
        <v>182.49</v>
      </c>
      <c r="AA15" s="184" t="s">
        <v>217</v>
      </c>
      <c r="AB15" s="176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21.95" customHeight="1">
      <c r="A16" s="11">
        <v>8033</v>
      </c>
      <c r="B16" s="19" t="s">
        <v>132</v>
      </c>
      <c r="C16" s="51"/>
      <c r="D16" s="134">
        <v>15.12</v>
      </c>
      <c r="E16" s="177">
        <f t="shared" si="0"/>
        <v>0</v>
      </c>
      <c r="F16" s="177">
        <f t="shared" si="7"/>
        <v>0</v>
      </c>
      <c r="G16" s="58"/>
      <c r="H16" s="177"/>
      <c r="I16" s="59">
        <v>7.0000000000000007E-2</v>
      </c>
      <c r="J16" s="59"/>
      <c r="K16" s="177">
        <f t="shared" si="1"/>
        <v>0</v>
      </c>
      <c r="L16" s="178">
        <v>0.20499999999999999</v>
      </c>
      <c r="M16" s="177"/>
      <c r="N16" s="177"/>
      <c r="O16" s="177">
        <f t="shared" si="2"/>
        <v>0</v>
      </c>
      <c r="P16" s="177">
        <f t="shared" si="3"/>
        <v>0</v>
      </c>
      <c r="Q16" s="179">
        <v>4.5499999999999999E-2</v>
      </c>
      <c r="R16" s="180">
        <f t="shared" si="4"/>
        <v>0</v>
      </c>
      <c r="S16" s="180">
        <f t="shared" si="5"/>
        <v>0</v>
      </c>
      <c r="T16" s="181">
        <f t="shared" si="6"/>
        <v>0</v>
      </c>
      <c r="U16" s="19">
        <v>24</v>
      </c>
      <c r="V16" s="182"/>
      <c r="W16" s="182"/>
      <c r="X16" s="182"/>
      <c r="Y16" s="182"/>
      <c r="Z16" s="183">
        <v>51.975000000000001</v>
      </c>
      <c r="AA16" s="183">
        <v>85.47</v>
      </c>
      <c r="AB16" s="176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21.95" customHeight="1">
      <c r="A17" s="11">
        <v>8040</v>
      </c>
      <c r="B17" s="19" t="s">
        <v>133</v>
      </c>
      <c r="C17" s="51"/>
      <c r="D17" s="134">
        <v>15.12</v>
      </c>
      <c r="E17" s="177">
        <f t="shared" si="0"/>
        <v>0</v>
      </c>
      <c r="F17" s="177">
        <f t="shared" si="7"/>
        <v>0</v>
      </c>
      <c r="G17" s="58"/>
      <c r="H17" s="177"/>
      <c r="I17" s="59">
        <v>7.0000000000000007E-2</v>
      </c>
      <c r="J17" s="59"/>
      <c r="K17" s="177">
        <f t="shared" si="1"/>
        <v>0</v>
      </c>
      <c r="L17" s="178">
        <v>0.20499999999999999</v>
      </c>
      <c r="M17" s="177"/>
      <c r="N17" s="177"/>
      <c r="O17" s="177">
        <f t="shared" si="2"/>
        <v>0</v>
      </c>
      <c r="P17" s="177">
        <f t="shared" si="3"/>
        <v>0</v>
      </c>
      <c r="Q17" s="179">
        <v>4.5499999999999999E-2</v>
      </c>
      <c r="R17" s="180">
        <f t="shared" si="4"/>
        <v>0</v>
      </c>
      <c r="S17" s="180">
        <f t="shared" si="5"/>
        <v>0</v>
      </c>
      <c r="T17" s="181">
        <f t="shared" si="6"/>
        <v>0</v>
      </c>
      <c r="U17" s="19">
        <v>24</v>
      </c>
      <c r="V17" s="182"/>
      <c r="W17" s="182"/>
      <c r="X17" s="182"/>
      <c r="Y17" s="182"/>
      <c r="Z17" s="183">
        <v>51.975000000000001</v>
      </c>
      <c r="AA17" s="183">
        <v>85.47</v>
      </c>
      <c r="AB17" s="176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21.95" customHeight="1">
      <c r="A18" s="11">
        <v>8057</v>
      </c>
      <c r="B18" s="19" t="s">
        <v>134</v>
      </c>
      <c r="C18" s="51"/>
      <c r="D18" s="134">
        <v>18.38</v>
      </c>
      <c r="E18" s="177">
        <f t="shared" si="0"/>
        <v>0</v>
      </c>
      <c r="F18" s="177">
        <f t="shared" si="7"/>
        <v>0</v>
      </c>
      <c r="G18" s="58"/>
      <c r="H18" s="177"/>
      <c r="I18" s="59">
        <v>7.0000000000000007E-2</v>
      </c>
      <c r="J18" s="59"/>
      <c r="K18" s="177">
        <f t="shared" si="1"/>
        <v>0</v>
      </c>
      <c r="L18" s="178">
        <v>0.20499999999999999</v>
      </c>
      <c r="M18" s="177"/>
      <c r="N18" s="177"/>
      <c r="O18" s="177">
        <f t="shared" si="2"/>
        <v>0</v>
      </c>
      <c r="P18" s="177">
        <f t="shared" si="3"/>
        <v>0</v>
      </c>
      <c r="Q18" s="185">
        <v>0.14299999999999999</v>
      </c>
      <c r="R18" s="180">
        <f t="shared" si="4"/>
        <v>0</v>
      </c>
      <c r="S18" s="180">
        <f t="shared" si="5"/>
        <v>0</v>
      </c>
      <c r="T18" s="181">
        <f t="shared" si="6"/>
        <v>0</v>
      </c>
      <c r="U18" s="19">
        <v>12</v>
      </c>
      <c r="V18" s="182"/>
      <c r="W18" s="182"/>
      <c r="X18" s="182"/>
      <c r="Y18" s="182"/>
      <c r="Z18" s="183">
        <v>63.524999999999999</v>
      </c>
      <c r="AA18" s="183">
        <v>103.95</v>
      </c>
      <c r="AB18" s="176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21.95" customHeight="1">
      <c r="A19" s="11">
        <v>8058</v>
      </c>
      <c r="B19" s="19" t="s">
        <v>135</v>
      </c>
      <c r="C19" s="51"/>
      <c r="D19" s="134">
        <v>27.51</v>
      </c>
      <c r="E19" s="177">
        <f t="shared" si="0"/>
        <v>0</v>
      </c>
      <c r="F19" s="177">
        <f t="shared" si="7"/>
        <v>0</v>
      </c>
      <c r="G19" s="58"/>
      <c r="H19" s="177"/>
      <c r="I19" s="59">
        <v>7.0000000000000007E-2</v>
      </c>
      <c r="J19" s="59"/>
      <c r="K19" s="177">
        <f t="shared" si="1"/>
        <v>0</v>
      </c>
      <c r="L19" s="178">
        <v>0.20499999999999999</v>
      </c>
      <c r="M19" s="177"/>
      <c r="N19" s="177"/>
      <c r="O19" s="177">
        <f t="shared" si="2"/>
        <v>0</v>
      </c>
      <c r="P19" s="177">
        <f t="shared" si="3"/>
        <v>0</v>
      </c>
      <c r="Q19" s="185">
        <v>0.14299999999999999</v>
      </c>
      <c r="R19" s="180">
        <f t="shared" si="4"/>
        <v>0</v>
      </c>
      <c r="S19" s="180">
        <f t="shared" si="5"/>
        <v>0</v>
      </c>
      <c r="T19" s="181">
        <f t="shared" si="6"/>
        <v>0</v>
      </c>
      <c r="U19" s="19">
        <v>12</v>
      </c>
      <c r="V19" s="182"/>
      <c r="W19" s="182"/>
      <c r="X19" s="182"/>
      <c r="Y19" s="182"/>
      <c r="Z19" s="183">
        <v>98.174999999999997</v>
      </c>
      <c r="AA19" s="183">
        <v>157.07999999999998</v>
      </c>
      <c r="AB19" s="176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21.95" customHeight="1">
      <c r="A20" s="11">
        <v>8064</v>
      </c>
      <c r="B20" s="19" t="s">
        <v>136</v>
      </c>
      <c r="C20" s="51"/>
      <c r="D20" s="135">
        <v>17.96</v>
      </c>
      <c r="E20" s="177">
        <f t="shared" si="0"/>
        <v>0</v>
      </c>
      <c r="F20" s="177">
        <f t="shared" si="7"/>
        <v>0</v>
      </c>
      <c r="G20" s="58"/>
      <c r="H20" s="177"/>
      <c r="I20" s="59">
        <v>7.0000000000000007E-2</v>
      </c>
      <c r="J20" s="59"/>
      <c r="K20" s="177">
        <f t="shared" si="1"/>
        <v>0</v>
      </c>
      <c r="L20" s="178">
        <v>0.20499999999999999</v>
      </c>
      <c r="M20" s="177"/>
      <c r="N20" s="177"/>
      <c r="O20" s="177">
        <f t="shared" si="2"/>
        <v>0</v>
      </c>
      <c r="P20" s="177">
        <f t="shared" si="3"/>
        <v>0</v>
      </c>
      <c r="Q20" s="185">
        <v>0.14299999999999999</v>
      </c>
      <c r="R20" s="180">
        <f t="shared" si="4"/>
        <v>0</v>
      </c>
      <c r="S20" s="180">
        <f t="shared" si="5"/>
        <v>0</v>
      </c>
      <c r="T20" s="181">
        <f t="shared" si="6"/>
        <v>0</v>
      </c>
      <c r="U20" s="19">
        <v>24</v>
      </c>
      <c r="V20" s="182"/>
      <c r="W20" s="182"/>
      <c r="X20" s="182"/>
      <c r="Y20" s="182"/>
      <c r="Z20" s="183">
        <v>63.524999999999999</v>
      </c>
      <c r="AA20" s="183">
        <v>102.2175</v>
      </c>
      <c r="AB20" s="176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21.95" customHeight="1">
      <c r="A21" s="11">
        <v>8067</v>
      </c>
      <c r="B21" s="20" t="s">
        <v>137</v>
      </c>
      <c r="C21" s="51"/>
      <c r="D21" s="136">
        <v>350.18</v>
      </c>
      <c r="E21" s="177">
        <f t="shared" si="0"/>
        <v>0</v>
      </c>
      <c r="F21" s="177">
        <f t="shared" si="7"/>
        <v>0</v>
      </c>
      <c r="G21" s="58"/>
      <c r="H21" s="177"/>
      <c r="I21" s="59">
        <v>7.0000000000000007E-2</v>
      </c>
      <c r="J21" s="59"/>
      <c r="K21" s="177">
        <f t="shared" si="1"/>
        <v>0</v>
      </c>
      <c r="L21" s="178">
        <v>0.20499999999999999</v>
      </c>
      <c r="M21" s="177"/>
      <c r="N21" s="177"/>
      <c r="O21" s="177">
        <f t="shared" si="2"/>
        <v>0</v>
      </c>
      <c r="P21" s="177">
        <f t="shared" si="3"/>
        <v>0</v>
      </c>
      <c r="Q21" s="179">
        <v>4.5499999999999999E-2</v>
      </c>
      <c r="R21" s="180">
        <f t="shared" si="4"/>
        <v>0</v>
      </c>
      <c r="S21" s="180">
        <f t="shared" si="5"/>
        <v>0</v>
      </c>
      <c r="T21" s="181">
        <f>C21/1</f>
        <v>0</v>
      </c>
      <c r="U21" s="19">
        <v>100</v>
      </c>
      <c r="V21" s="182"/>
      <c r="W21" s="182"/>
      <c r="X21" s="182"/>
      <c r="Y21" s="182"/>
      <c r="Z21" s="183">
        <v>9.3554999999999993</v>
      </c>
      <c r="AA21" s="183">
        <v>10.9725</v>
      </c>
      <c r="AB21" s="176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21.95" customHeight="1">
      <c r="A22" s="11">
        <v>8066</v>
      </c>
      <c r="B22" s="20" t="s">
        <v>138</v>
      </c>
      <c r="C22" s="51"/>
      <c r="D22" s="136">
        <v>350.18</v>
      </c>
      <c r="E22" s="177">
        <f t="shared" si="0"/>
        <v>0</v>
      </c>
      <c r="F22" s="177">
        <f t="shared" si="7"/>
        <v>0</v>
      </c>
      <c r="G22" s="58"/>
      <c r="H22" s="177"/>
      <c r="I22" s="59">
        <v>7.0000000000000007E-2</v>
      </c>
      <c r="J22" s="59"/>
      <c r="K22" s="177">
        <f t="shared" si="1"/>
        <v>0</v>
      </c>
      <c r="L22" s="178">
        <v>0.20499999999999999</v>
      </c>
      <c r="M22" s="177"/>
      <c r="N22" s="177"/>
      <c r="O22" s="177">
        <f t="shared" si="2"/>
        <v>0</v>
      </c>
      <c r="P22" s="177">
        <f t="shared" si="3"/>
        <v>0</v>
      </c>
      <c r="Q22" s="179">
        <v>4.5499999999999999E-2</v>
      </c>
      <c r="R22" s="180">
        <f t="shared" si="4"/>
        <v>0</v>
      </c>
      <c r="S22" s="180">
        <f t="shared" si="5"/>
        <v>0</v>
      </c>
      <c r="T22" s="181">
        <f t="shared" ref="T22:T24" si="8">C22/1</f>
        <v>0</v>
      </c>
      <c r="U22" s="19">
        <v>100</v>
      </c>
      <c r="V22" s="182"/>
      <c r="W22" s="182"/>
      <c r="X22" s="182"/>
      <c r="Y22" s="182"/>
      <c r="Z22" s="183">
        <v>9.3554999999999993</v>
      </c>
      <c r="AA22" s="183">
        <v>10.9725</v>
      </c>
      <c r="AB22" s="176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21.95" customHeight="1">
      <c r="A23" s="11">
        <v>8065</v>
      </c>
      <c r="B23" s="20" t="s">
        <v>139</v>
      </c>
      <c r="C23" s="51"/>
      <c r="D23" s="136">
        <v>381.68</v>
      </c>
      <c r="E23" s="177">
        <f t="shared" si="0"/>
        <v>0</v>
      </c>
      <c r="F23" s="177">
        <f t="shared" si="7"/>
        <v>0</v>
      </c>
      <c r="G23" s="58"/>
      <c r="H23" s="177"/>
      <c r="I23" s="59">
        <v>7.0000000000000007E-2</v>
      </c>
      <c r="J23" s="59"/>
      <c r="K23" s="177">
        <f t="shared" si="1"/>
        <v>0</v>
      </c>
      <c r="L23" s="178">
        <v>0.20499999999999999</v>
      </c>
      <c r="M23" s="177"/>
      <c r="N23" s="177"/>
      <c r="O23" s="177">
        <f t="shared" si="2"/>
        <v>0</v>
      </c>
      <c r="P23" s="177">
        <f t="shared" si="3"/>
        <v>0</v>
      </c>
      <c r="Q23" s="185">
        <v>0.14299999999999999</v>
      </c>
      <c r="R23" s="180">
        <f t="shared" si="4"/>
        <v>0</v>
      </c>
      <c r="S23" s="180">
        <f t="shared" si="5"/>
        <v>0</v>
      </c>
      <c r="T23" s="181">
        <f t="shared" si="8"/>
        <v>0</v>
      </c>
      <c r="U23" s="19">
        <v>100</v>
      </c>
      <c r="V23" s="182"/>
      <c r="W23" s="182"/>
      <c r="X23" s="182"/>
      <c r="Y23" s="182"/>
      <c r="Z23" s="183">
        <v>9.817499999999999</v>
      </c>
      <c r="AA23" s="183">
        <v>11.55</v>
      </c>
      <c r="AB23" s="176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21.95" customHeight="1">
      <c r="A24" s="11">
        <v>8068</v>
      </c>
      <c r="B24" s="20" t="s">
        <v>140</v>
      </c>
      <c r="C24" s="51"/>
      <c r="D24" s="136">
        <v>333.17</v>
      </c>
      <c r="E24" s="177">
        <f t="shared" si="0"/>
        <v>0</v>
      </c>
      <c r="F24" s="177">
        <f t="shared" si="7"/>
        <v>0</v>
      </c>
      <c r="G24" s="58"/>
      <c r="H24" s="177"/>
      <c r="I24" s="59">
        <v>7.0000000000000007E-2</v>
      </c>
      <c r="J24" s="59"/>
      <c r="K24" s="177">
        <f t="shared" si="1"/>
        <v>0</v>
      </c>
      <c r="L24" s="178">
        <v>0.20499999999999999</v>
      </c>
      <c r="M24" s="177"/>
      <c r="N24" s="177"/>
      <c r="O24" s="177">
        <f t="shared" si="2"/>
        <v>0</v>
      </c>
      <c r="P24" s="177">
        <f t="shared" si="3"/>
        <v>0</v>
      </c>
      <c r="Q24" s="185">
        <v>0.14299999999999999</v>
      </c>
      <c r="R24" s="180">
        <f t="shared" si="4"/>
        <v>0</v>
      </c>
      <c r="S24" s="180">
        <f t="shared" si="5"/>
        <v>0</v>
      </c>
      <c r="T24" s="181">
        <f t="shared" si="8"/>
        <v>0</v>
      </c>
      <c r="U24" s="19">
        <v>100</v>
      </c>
      <c r="V24" s="182"/>
      <c r="W24" s="182"/>
      <c r="X24" s="182"/>
      <c r="Y24" s="182"/>
      <c r="Z24" s="183">
        <v>8.8357500000000009</v>
      </c>
      <c r="AA24" s="183">
        <v>10.568250000000001</v>
      </c>
      <c r="AB24" s="176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21.95" customHeight="1">
      <c r="A25" s="11">
        <v>8101</v>
      </c>
      <c r="B25" s="21" t="s">
        <v>141</v>
      </c>
      <c r="C25" s="51"/>
      <c r="D25" s="137">
        <v>64.974000000000004</v>
      </c>
      <c r="E25" s="177">
        <f t="shared" si="0"/>
        <v>0</v>
      </c>
      <c r="F25" s="177">
        <f t="shared" si="7"/>
        <v>0</v>
      </c>
      <c r="G25" s="58"/>
      <c r="H25" s="177"/>
      <c r="I25" s="59">
        <v>7.0000000000000007E-2</v>
      </c>
      <c r="J25" s="59"/>
      <c r="K25" s="177">
        <f t="shared" si="1"/>
        <v>0</v>
      </c>
      <c r="L25" s="178">
        <v>0.20499999999999999</v>
      </c>
      <c r="M25" s="177"/>
      <c r="N25" s="177"/>
      <c r="O25" s="177">
        <f t="shared" si="2"/>
        <v>0</v>
      </c>
      <c r="P25" s="177">
        <f t="shared" si="3"/>
        <v>0</v>
      </c>
      <c r="Q25" s="179">
        <v>4.5499999999999999E-2</v>
      </c>
      <c r="R25" s="180">
        <f t="shared" si="4"/>
        <v>0</v>
      </c>
      <c r="S25" s="180">
        <f t="shared" si="5"/>
        <v>0</v>
      </c>
      <c r="T25" s="181">
        <f t="shared" si="6"/>
        <v>0</v>
      </c>
      <c r="U25" s="186">
        <v>12</v>
      </c>
      <c r="V25" s="182"/>
      <c r="W25" s="182"/>
      <c r="X25" s="182"/>
      <c r="Y25" s="182"/>
      <c r="Z25" s="183">
        <v>242.55</v>
      </c>
      <c r="AA25" s="184" t="s">
        <v>217</v>
      </c>
      <c r="AB25" s="176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21.95" customHeight="1">
      <c r="A26" s="11">
        <v>8118</v>
      </c>
      <c r="B26" s="21" t="s">
        <v>142</v>
      </c>
      <c r="C26" s="51"/>
      <c r="D26" s="137">
        <v>99.45</v>
      </c>
      <c r="E26" s="177">
        <f t="shared" si="0"/>
        <v>0</v>
      </c>
      <c r="F26" s="177">
        <f t="shared" si="7"/>
        <v>0</v>
      </c>
      <c r="G26" s="58"/>
      <c r="H26" s="177"/>
      <c r="I26" s="59">
        <v>7.0000000000000007E-2</v>
      </c>
      <c r="J26" s="59"/>
      <c r="K26" s="177">
        <f t="shared" si="1"/>
        <v>0</v>
      </c>
      <c r="L26" s="178">
        <v>0.20499999999999999</v>
      </c>
      <c r="M26" s="177"/>
      <c r="N26" s="177"/>
      <c r="O26" s="177">
        <f t="shared" si="2"/>
        <v>0</v>
      </c>
      <c r="P26" s="177">
        <f t="shared" si="3"/>
        <v>0</v>
      </c>
      <c r="Q26" s="185">
        <v>0.14299999999999999</v>
      </c>
      <c r="R26" s="180">
        <f t="shared" si="4"/>
        <v>0</v>
      </c>
      <c r="S26" s="180">
        <f t="shared" si="5"/>
        <v>0</v>
      </c>
      <c r="T26" s="181">
        <f t="shared" si="6"/>
        <v>0</v>
      </c>
      <c r="U26" s="186">
        <v>12</v>
      </c>
      <c r="V26" s="182"/>
      <c r="W26" s="182"/>
      <c r="X26" s="182"/>
      <c r="Y26" s="182"/>
      <c r="Z26" s="183">
        <v>369.6</v>
      </c>
      <c r="AA26" s="184" t="s">
        <v>217</v>
      </c>
      <c r="AB26" s="176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21.95" customHeight="1">
      <c r="A27" s="11">
        <v>8125</v>
      </c>
      <c r="B27" s="101" t="s">
        <v>143</v>
      </c>
      <c r="C27" s="51"/>
      <c r="D27" s="137">
        <v>53.04</v>
      </c>
      <c r="E27" s="177">
        <f t="shared" si="0"/>
        <v>0</v>
      </c>
      <c r="F27" s="177">
        <f t="shared" si="7"/>
        <v>0</v>
      </c>
      <c r="G27" s="58"/>
      <c r="H27" s="177"/>
      <c r="I27" s="59">
        <v>7.0000000000000007E-2</v>
      </c>
      <c r="J27" s="59"/>
      <c r="K27" s="177">
        <f t="shared" si="1"/>
        <v>0</v>
      </c>
      <c r="L27" s="178">
        <v>0.20499999999999999</v>
      </c>
      <c r="M27" s="177"/>
      <c r="N27" s="177"/>
      <c r="O27" s="177">
        <f t="shared" si="2"/>
        <v>0</v>
      </c>
      <c r="P27" s="177">
        <f t="shared" si="3"/>
        <v>0</v>
      </c>
      <c r="Q27" s="185">
        <v>0.14299999999999999</v>
      </c>
      <c r="R27" s="180">
        <f t="shared" si="4"/>
        <v>0</v>
      </c>
      <c r="S27" s="180">
        <f t="shared" si="5"/>
        <v>0</v>
      </c>
      <c r="T27" s="181">
        <f t="shared" si="6"/>
        <v>0</v>
      </c>
      <c r="U27" s="186">
        <v>12</v>
      </c>
      <c r="V27" s="182"/>
      <c r="W27" s="182"/>
      <c r="X27" s="182"/>
      <c r="Y27" s="182"/>
      <c r="Z27" s="183">
        <v>219.45</v>
      </c>
      <c r="AA27" s="184" t="s">
        <v>217</v>
      </c>
      <c r="AB27" s="176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21.95" customHeight="1">
      <c r="A28" s="11">
        <v>8132</v>
      </c>
      <c r="B28" s="21" t="s">
        <v>144</v>
      </c>
      <c r="C28" s="51"/>
      <c r="D28" s="137">
        <v>15.12</v>
      </c>
      <c r="E28" s="177">
        <f t="shared" si="0"/>
        <v>0</v>
      </c>
      <c r="F28" s="177">
        <f t="shared" si="7"/>
        <v>0</v>
      </c>
      <c r="G28" s="58"/>
      <c r="H28" s="177"/>
      <c r="I28" s="59">
        <v>7.0000000000000007E-2</v>
      </c>
      <c r="J28" s="59"/>
      <c r="K28" s="177">
        <f t="shared" si="1"/>
        <v>0</v>
      </c>
      <c r="L28" s="178">
        <v>0.20499999999999999</v>
      </c>
      <c r="M28" s="177"/>
      <c r="N28" s="177"/>
      <c r="O28" s="177">
        <f t="shared" si="2"/>
        <v>0</v>
      </c>
      <c r="P28" s="177">
        <f t="shared" si="3"/>
        <v>0</v>
      </c>
      <c r="Q28" s="179">
        <v>4.5499999999999999E-2</v>
      </c>
      <c r="R28" s="180">
        <f t="shared" si="4"/>
        <v>0</v>
      </c>
      <c r="S28" s="180">
        <f t="shared" si="5"/>
        <v>0</v>
      </c>
      <c r="T28" s="181">
        <f t="shared" si="6"/>
        <v>0</v>
      </c>
      <c r="U28" s="186">
        <v>24</v>
      </c>
      <c r="V28" s="182"/>
      <c r="W28" s="182"/>
      <c r="X28" s="182"/>
      <c r="Y28" s="182"/>
      <c r="Z28" s="183">
        <v>51.975000000000001</v>
      </c>
      <c r="AA28" s="183">
        <v>85.47</v>
      </c>
      <c r="AB28" s="176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21.95" customHeight="1">
      <c r="A29" s="11">
        <v>8156</v>
      </c>
      <c r="B29" s="21" t="s">
        <v>145</v>
      </c>
      <c r="C29" s="51"/>
      <c r="D29" s="137">
        <v>15.12</v>
      </c>
      <c r="E29" s="177">
        <f t="shared" si="0"/>
        <v>0</v>
      </c>
      <c r="F29" s="177">
        <f t="shared" si="7"/>
        <v>0</v>
      </c>
      <c r="G29" s="58"/>
      <c r="H29" s="177"/>
      <c r="I29" s="59">
        <v>7.0000000000000007E-2</v>
      </c>
      <c r="J29" s="59"/>
      <c r="K29" s="177">
        <f t="shared" si="1"/>
        <v>0</v>
      </c>
      <c r="L29" s="178">
        <v>0.20499999999999999</v>
      </c>
      <c r="M29" s="177"/>
      <c r="N29" s="177"/>
      <c r="O29" s="177">
        <f t="shared" si="2"/>
        <v>0</v>
      </c>
      <c r="P29" s="177">
        <f t="shared" si="3"/>
        <v>0</v>
      </c>
      <c r="Q29" s="179">
        <v>4.5499999999999999E-2</v>
      </c>
      <c r="R29" s="180">
        <f t="shared" si="4"/>
        <v>0</v>
      </c>
      <c r="S29" s="180">
        <f t="shared" si="5"/>
        <v>0</v>
      </c>
      <c r="T29" s="181">
        <f t="shared" si="6"/>
        <v>0</v>
      </c>
      <c r="U29" s="186">
        <v>24</v>
      </c>
      <c r="V29" s="182"/>
      <c r="W29" s="182"/>
      <c r="X29" s="182"/>
      <c r="Y29" s="182"/>
      <c r="Z29" s="183">
        <v>51.975000000000001</v>
      </c>
      <c r="AA29" s="183">
        <v>85.47</v>
      </c>
      <c r="AB29" s="176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21.95" customHeight="1">
      <c r="A30" s="11">
        <v>8149</v>
      </c>
      <c r="B30" s="21" t="s">
        <v>146</v>
      </c>
      <c r="C30" s="51"/>
      <c r="D30" s="137">
        <v>18.38</v>
      </c>
      <c r="E30" s="177">
        <f t="shared" si="0"/>
        <v>0</v>
      </c>
      <c r="F30" s="177">
        <f t="shared" si="7"/>
        <v>0</v>
      </c>
      <c r="G30" s="58"/>
      <c r="H30" s="177"/>
      <c r="I30" s="59">
        <v>7.0000000000000007E-2</v>
      </c>
      <c r="J30" s="59"/>
      <c r="K30" s="177">
        <f t="shared" si="1"/>
        <v>0</v>
      </c>
      <c r="L30" s="178">
        <v>0.20499999999999999</v>
      </c>
      <c r="M30" s="177"/>
      <c r="N30" s="177"/>
      <c r="O30" s="177">
        <f t="shared" si="2"/>
        <v>0</v>
      </c>
      <c r="P30" s="177">
        <f t="shared" si="3"/>
        <v>0</v>
      </c>
      <c r="Q30" s="185">
        <v>0.14299999999999999</v>
      </c>
      <c r="R30" s="180">
        <f t="shared" si="4"/>
        <v>0</v>
      </c>
      <c r="S30" s="180">
        <f t="shared" si="5"/>
        <v>0</v>
      </c>
      <c r="T30" s="181">
        <f t="shared" si="6"/>
        <v>0</v>
      </c>
      <c r="U30" s="186">
        <v>12</v>
      </c>
      <c r="V30" s="182"/>
      <c r="W30" s="182"/>
      <c r="X30" s="182"/>
      <c r="Y30" s="182"/>
      <c r="Z30" s="183">
        <v>63.524999999999999</v>
      </c>
      <c r="AA30" s="183">
        <v>103.95</v>
      </c>
      <c r="AB30" s="176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21.95" customHeight="1">
      <c r="A31" s="11">
        <v>8150</v>
      </c>
      <c r="B31" s="21" t="s">
        <v>147</v>
      </c>
      <c r="C31" s="51"/>
      <c r="D31" s="137">
        <v>27.51</v>
      </c>
      <c r="E31" s="177">
        <f t="shared" si="0"/>
        <v>0</v>
      </c>
      <c r="F31" s="177">
        <f t="shared" si="7"/>
        <v>0</v>
      </c>
      <c r="G31" s="58"/>
      <c r="H31" s="177"/>
      <c r="I31" s="59">
        <v>7.0000000000000007E-2</v>
      </c>
      <c r="J31" s="59"/>
      <c r="K31" s="177">
        <f t="shared" si="1"/>
        <v>0</v>
      </c>
      <c r="L31" s="178">
        <v>0.20499999999999999</v>
      </c>
      <c r="M31" s="177"/>
      <c r="N31" s="177"/>
      <c r="O31" s="177">
        <f t="shared" si="2"/>
        <v>0</v>
      </c>
      <c r="P31" s="177">
        <f t="shared" si="3"/>
        <v>0</v>
      </c>
      <c r="Q31" s="185">
        <v>0.14299999999999999</v>
      </c>
      <c r="R31" s="180">
        <f t="shared" si="4"/>
        <v>0</v>
      </c>
      <c r="S31" s="180">
        <f t="shared" si="5"/>
        <v>0</v>
      </c>
      <c r="T31" s="181">
        <f t="shared" si="6"/>
        <v>0</v>
      </c>
      <c r="U31" s="186">
        <v>12</v>
      </c>
      <c r="V31" s="182"/>
      <c r="W31" s="182"/>
      <c r="X31" s="182"/>
      <c r="Y31" s="182"/>
      <c r="Z31" s="183">
        <v>98.174999999999997</v>
      </c>
      <c r="AA31" s="183">
        <v>157.07999999999998</v>
      </c>
      <c r="AB31" s="176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21.95" customHeight="1">
      <c r="A32" s="11">
        <v>8163</v>
      </c>
      <c r="B32" s="101" t="s">
        <v>148</v>
      </c>
      <c r="C32" s="51"/>
      <c r="D32" s="138">
        <v>17.96</v>
      </c>
      <c r="E32" s="177">
        <f t="shared" si="0"/>
        <v>0</v>
      </c>
      <c r="F32" s="177">
        <f>E32+R32</f>
        <v>0</v>
      </c>
      <c r="G32" s="58"/>
      <c r="H32" s="177"/>
      <c r="I32" s="59">
        <v>7.0000000000000007E-2</v>
      </c>
      <c r="J32" s="59"/>
      <c r="K32" s="177">
        <f>N32*J32</f>
        <v>0</v>
      </c>
      <c r="L32" s="178">
        <v>0.20499999999999999</v>
      </c>
      <c r="M32" s="177"/>
      <c r="N32" s="177"/>
      <c r="O32" s="177">
        <f>(N32*L32-M32)+K32</f>
        <v>0</v>
      </c>
      <c r="P32" s="177">
        <f>E32+O32</f>
        <v>0</v>
      </c>
      <c r="Q32" s="185">
        <v>0.14299999999999999</v>
      </c>
      <c r="R32" s="180">
        <f t="shared" si="4"/>
        <v>0</v>
      </c>
      <c r="S32" s="180">
        <f>E32+R32+O32</f>
        <v>0</v>
      </c>
      <c r="T32" s="181">
        <f t="shared" si="6"/>
        <v>0</v>
      </c>
      <c r="U32" s="186">
        <v>24</v>
      </c>
      <c r="V32" s="182"/>
      <c r="W32" s="182"/>
      <c r="X32" s="182"/>
      <c r="Y32" s="182"/>
      <c r="Z32" s="183">
        <v>63.524999999999999</v>
      </c>
      <c r="AA32" s="183">
        <v>102.2175</v>
      </c>
      <c r="AB32" s="176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21.95" customHeight="1">
      <c r="A33" s="93">
        <v>8164</v>
      </c>
      <c r="B33" s="97" t="s">
        <v>259</v>
      </c>
      <c r="C33" s="51"/>
      <c r="D33" s="139">
        <v>450</v>
      </c>
      <c r="E33" s="177">
        <f t="shared" si="0"/>
        <v>0</v>
      </c>
      <c r="F33" s="177">
        <f t="shared" si="7"/>
        <v>0</v>
      </c>
      <c r="G33" s="58"/>
      <c r="H33" s="177"/>
      <c r="I33" s="59">
        <v>7.0000000000000007E-2</v>
      </c>
      <c r="J33" s="59"/>
      <c r="K33" s="177">
        <f t="shared" si="1"/>
        <v>0</v>
      </c>
      <c r="L33" s="178">
        <v>0.20499999999999999</v>
      </c>
      <c r="M33" s="177"/>
      <c r="N33" s="177"/>
      <c r="O33" s="177">
        <f t="shared" si="2"/>
        <v>0</v>
      </c>
      <c r="P33" s="177">
        <f t="shared" si="3"/>
        <v>0</v>
      </c>
      <c r="Q33" s="185">
        <v>0.14299999999999999</v>
      </c>
      <c r="R33" s="180">
        <f t="shared" si="4"/>
        <v>0</v>
      </c>
      <c r="S33" s="180">
        <f>E33+R33+O33</f>
        <v>0</v>
      </c>
      <c r="T33" s="181">
        <f t="shared" ref="T33:T34" si="9">C33/1</f>
        <v>0</v>
      </c>
      <c r="U33" s="186">
        <v>60</v>
      </c>
      <c r="V33" s="182"/>
      <c r="W33" s="182"/>
      <c r="X33" s="182"/>
      <c r="Y33" s="182"/>
      <c r="Z33" s="183">
        <v>22</v>
      </c>
      <c r="AA33" s="183">
        <v>35</v>
      </c>
      <c r="AB33" s="176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21.95" customHeight="1">
      <c r="A34" s="93">
        <v>8467</v>
      </c>
      <c r="B34" s="97" t="s">
        <v>304</v>
      </c>
      <c r="C34" s="99"/>
      <c r="D34" s="243">
        <v>105</v>
      </c>
      <c r="E34" s="177">
        <f t="shared" ref="E34" si="10">D34*C34</f>
        <v>0</v>
      </c>
      <c r="F34" s="177">
        <f t="shared" ref="F34" si="11">E34+R34</f>
        <v>0</v>
      </c>
      <c r="G34" s="58"/>
      <c r="H34" s="177"/>
      <c r="I34" s="59">
        <v>7.0000000000000007E-2</v>
      </c>
      <c r="J34" s="59"/>
      <c r="K34" s="177">
        <f t="shared" ref="K34" si="12">N34*J34</f>
        <v>0</v>
      </c>
      <c r="L34" s="178">
        <v>0.20499999999999999</v>
      </c>
      <c r="M34" s="177"/>
      <c r="N34" s="177"/>
      <c r="O34" s="177">
        <f t="shared" ref="O34" si="13">(N34*L34-M34)+K34</f>
        <v>0</v>
      </c>
      <c r="P34" s="177">
        <f t="shared" ref="P34" si="14">E34+O34</f>
        <v>0</v>
      </c>
      <c r="Q34" s="179">
        <v>4.5499999999999999E-2</v>
      </c>
      <c r="R34" s="180">
        <f t="shared" ref="R34" si="15">E34*Q34</f>
        <v>0</v>
      </c>
      <c r="S34" s="180">
        <f t="shared" ref="S34" si="16">E34+R34+O34</f>
        <v>0</v>
      </c>
      <c r="T34" s="181">
        <f t="shared" si="9"/>
        <v>0</v>
      </c>
      <c r="U34" s="186">
        <v>60</v>
      </c>
      <c r="V34" s="182"/>
      <c r="W34" s="182"/>
      <c r="X34" s="182"/>
      <c r="Y34" s="182"/>
      <c r="Z34" s="183"/>
      <c r="AA34" s="184" t="s">
        <v>217</v>
      </c>
      <c r="AB34" s="176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21.95" customHeight="1">
      <c r="A35" s="11">
        <v>8071</v>
      </c>
      <c r="B35" s="22" t="s">
        <v>149</v>
      </c>
      <c r="C35" s="51"/>
      <c r="D35" s="140">
        <v>53.702999999999996</v>
      </c>
      <c r="E35" s="177">
        <f t="shared" si="0"/>
        <v>0</v>
      </c>
      <c r="F35" s="177">
        <f t="shared" si="7"/>
        <v>0</v>
      </c>
      <c r="G35" s="58"/>
      <c r="H35" s="177"/>
      <c r="I35" s="59">
        <v>7.0000000000000007E-2</v>
      </c>
      <c r="J35" s="59"/>
      <c r="K35" s="177">
        <f t="shared" si="1"/>
        <v>0</v>
      </c>
      <c r="L35" s="178">
        <v>0.20499999999999999</v>
      </c>
      <c r="M35" s="177"/>
      <c r="N35" s="177"/>
      <c r="O35" s="177">
        <f t="shared" si="2"/>
        <v>0</v>
      </c>
      <c r="P35" s="177">
        <f t="shared" si="3"/>
        <v>0</v>
      </c>
      <c r="Q35" s="179">
        <v>4.5499999999999999E-2</v>
      </c>
      <c r="R35" s="180">
        <f t="shared" si="4"/>
        <v>0</v>
      </c>
      <c r="S35" s="180">
        <f t="shared" si="5"/>
        <v>0</v>
      </c>
      <c r="T35" s="181">
        <f t="shared" si="6"/>
        <v>0</v>
      </c>
      <c r="U35" s="187">
        <v>12</v>
      </c>
      <c r="V35" s="182"/>
      <c r="W35" s="182"/>
      <c r="X35" s="182"/>
      <c r="Y35" s="182"/>
      <c r="Z35" s="183">
        <v>182.49</v>
      </c>
      <c r="AA35" s="184" t="s">
        <v>217</v>
      </c>
      <c r="AB35" s="176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21.95" customHeight="1">
      <c r="A36" s="11">
        <v>8088</v>
      </c>
      <c r="B36" s="22" t="s">
        <v>150</v>
      </c>
      <c r="C36" s="51"/>
      <c r="D36" s="140">
        <v>97.460999999999999</v>
      </c>
      <c r="E36" s="177">
        <f t="shared" si="0"/>
        <v>0</v>
      </c>
      <c r="F36" s="177">
        <f t="shared" si="7"/>
        <v>0</v>
      </c>
      <c r="G36" s="58"/>
      <c r="H36" s="177"/>
      <c r="I36" s="59">
        <v>7.0000000000000007E-2</v>
      </c>
      <c r="J36" s="59"/>
      <c r="K36" s="177">
        <f t="shared" si="1"/>
        <v>0</v>
      </c>
      <c r="L36" s="178">
        <v>0.20499999999999999</v>
      </c>
      <c r="M36" s="177"/>
      <c r="N36" s="177"/>
      <c r="O36" s="177">
        <f t="shared" si="2"/>
        <v>0</v>
      </c>
      <c r="P36" s="177">
        <f t="shared" si="3"/>
        <v>0</v>
      </c>
      <c r="Q36" s="185">
        <v>0.14299999999999999</v>
      </c>
      <c r="R36" s="180">
        <f t="shared" si="4"/>
        <v>0</v>
      </c>
      <c r="S36" s="180">
        <f t="shared" si="5"/>
        <v>0</v>
      </c>
      <c r="T36" s="181">
        <f t="shared" si="6"/>
        <v>0</v>
      </c>
      <c r="U36" s="187">
        <v>12</v>
      </c>
      <c r="V36" s="182"/>
      <c r="W36" s="182"/>
      <c r="X36" s="182"/>
      <c r="Y36" s="182"/>
      <c r="Z36" s="183">
        <v>310.69499999999999</v>
      </c>
      <c r="AA36" s="184" t="s">
        <v>217</v>
      </c>
      <c r="AB36" s="176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21.95" customHeight="1">
      <c r="A37" s="11">
        <v>8095</v>
      </c>
      <c r="B37" s="102" t="s">
        <v>151</v>
      </c>
      <c r="C37" s="51"/>
      <c r="D37" s="140">
        <v>53.04</v>
      </c>
      <c r="E37" s="177">
        <f t="shared" si="0"/>
        <v>0</v>
      </c>
      <c r="F37" s="177">
        <f t="shared" si="7"/>
        <v>0</v>
      </c>
      <c r="G37" s="58"/>
      <c r="H37" s="177"/>
      <c r="I37" s="59">
        <v>7.0000000000000007E-2</v>
      </c>
      <c r="J37" s="59"/>
      <c r="K37" s="177">
        <f t="shared" si="1"/>
        <v>0</v>
      </c>
      <c r="L37" s="178">
        <v>0.20499999999999999</v>
      </c>
      <c r="M37" s="177"/>
      <c r="N37" s="177"/>
      <c r="O37" s="177">
        <f t="shared" si="2"/>
        <v>0</v>
      </c>
      <c r="P37" s="177">
        <f t="shared" si="3"/>
        <v>0</v>
      </c>
      <c r="Q37" s="185">
        <v>0.14299999999999999</v>
      </c>
      <c r="R37" s="180">
        <f t="shared" si="4"/>
        <v>0</v>
      </c>
      <c r="S37" s="180">
        <f t="shared" si="5"/>
        <v>0</v>
      </c>
      <c r="T37" s="181">
        <f t="shared" si="6"/>
        <v>0</v>
      </c>
      <c r="U37" s="187">
        <v>12</v>
      </c>
      <c r="V37" s="182"/>
      <c r="W37" s="182"/>
      <c r="X37" s="182"/>
      <c r="Y37" s="182"/>
      <c r="Z37" s="183">
        <v>169.785</v>
      </c>
      <c r="AA37" s="184" t="s">
        <v>217</v>
      </c>
      <c r="AB37" s="176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21.95" customHeight="1">
      <c r="A38" s="11">
        <v>8415</v>
      </c>
      <c r="B38" s="22" t="s">
        <v>152</v>
      </c>
      <c r="C38" s="51"/>
      <c r="D38" s="140">
        <v>15.12</v>
      </c>
      <c r="E38" s="177">
        <f t="shared" si="0"/>
        <v>0</v>
      </c>
      <c r="F38" s="177">
        <f t="shared" si="7"/>
        <v>0</v>
      </c>
      <c r="G38" s="58"/>
      <c r="H38" s="177"/>
      <c r="I38" s="59">
        <v>7.0000000000000007E-2</v>
      </c>
      <c r="J38" s="59"/>
      <c r="K38" s="177">
        <f t="shared" si="1"/>
        <v>0</v>
      </c>
      <c r="L38" s="178">
        <v>0.20499999999999999</v>
      </c>
      <c r="M38" s="177"/>
      <c r="N38" s="177"/>
      <c r="O38" s="177">
        <f t="shared" si="2"/>
        <v>0</v>
      </c>
      <c r="P38" s="177">
        <f t="shared" si="3"/>
        <v>0</v>
      </c>
      <c r="Q38" s="179">
        <v>4.5499999999999999E-2</v>
      </c>
      <c r="R38" s="180">
        <f t="shared" si="4"/>
        <v>0</v>
      </c>
      <c r="S38" s="180">
        <f t="shared" si="5"/>
        <v>0</v>
      </c>
      <c r="T38" s="181">
        <f t="shared" si="6"/>
        <v>0</v>
      </c>
      <c r="U38" s="187">
        <v>24</v>
      </c>
      <c r="V38" s="182"/>
      <c r="W38" s="182"/>
      <c r="X38" s="182"/>
      <c r="Y38" s="182"/>
      <c r="Z38" s="183">
        <v>51.975000000000001</v>
      </c>
      <c r="AA38" s="183">
        <v>85.47</v>
      </c>
      <c r="AB38" s="176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21.95" customHeight="1">
      <c r="A39" s="11">
        <v>8439</v>
      </c>
      <c r="B39" s="22" t="s">
        <v>153</v>
      </c>
      <c r="C39" s="51"/>
      <c r="D39" s="140">
        <v>15.12</v>
      </c>
      <c r="E39" s="177">
        <f t="shared" si="0"/>
        <v>0</v>
      </c>
      <c r="F39" s="177">
        <f t="shared" si="7"/>
        <v>0</v>
      </c>
      <c r="G39" s="58"/>
      <c r="H39" s="177"/>
      <c r="I39" s="59">
        <v>7.0000000000000007E-2</v>
      </c>
      <c r="J39" s="59"/>
      <c r="K39" s="177">
        <f t="shared" si="1"/>
        <v>0</v>
      </c>
      <c r="L39" s="178">
        <v>0.20499999999999999</v>
      </c>
      <c r="M39" s="177"/>
      <c r="N39" s="177"/>
      <c r="O39" s="177">
        <f t="shared" si="2"/>
        <v>0</v>
      </c>
      <c r="P39" s="177">
        <f t="shared" si="3"/>
        <v>0</v>
      </c>
      <c r="Q39" s="179">
        <v>4.5499999999999999E-2</v>
      </c>
      <c r="R39" s="180">
        <f t="shared" si="4"/>
        <v>0</v>
      </c>
      <c r="S39" s="180">
        <f t="shared" si="5"/>
        <v>0</v>
      </c>
      <c r="T39" s="181">
        <f t="shared" si="6"/>
        <v>0</v>
      </c>
      <c r="U39" s="187">
        <v>24</v>
      </c>
      <c r="V39" s="182"/>
      <c r="W39" s="182"/>
      <c r="X39" s="182"/>
      <c r="Y39" s="182"/>
      <c r="Z39" s="183">
        <v>51.975000000000001</v>
      </c>
      <c r="AA39" s="183">
        <v>85.47</v>
      </c>
      <c r="AB39" s="176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21.95" customHeight="1">
      <c r="A40" s="11">
        <v>8422</v>
      </c>
      <c r="B40" s="22" t="s">
        <v>154</v>
      </c>
      <c r="C40" s="51"/>
      <c r="D40" s="140">
        <v>18.38</v>
      </c>
      <c r="E40" s="177">
        <f t="shared" si="0"/>
        <v>0</v>
      </c>
      <c r="F40" s="177">
        <f t="shared" si="7"/>
        <v>0</v>
      </c>
      <c r="G40" s="58"/>
      <c r="H40" s="177"/>
      <c r="I40" s="59">
        <v>7.0000000000000007E-2</v>
      </c>
      <c r="J40" s="59"/>
      <c r="K40" s="177">
        <f t="shared" si="1"/>
        <v>0</v>
      </c>
      <c r="L40" s="178">
        <v>0.20499999999999999</v>
      </c>
      <c r="M40" s="177"/>
      <c r="N40" s="177"/>
      <c r="O40" s="177">
        <f t="shared" si="2"/>
        <v>0</v>
      </c>
      <c r="P40" s="177">
        <f t="shared" si="3"/>
        <v>0</v>
      </c>
      <c r="Q40" s="185">
        <v>0.14299999999999999</v>
      </c>
      <c r="R40" s="180">
        <f t="shared" si="4"/>
        <v>0</v>
      </c>
      <c r="S40" s="180">
        <f t="shared" si="5"/>
        <v>0</v>
      </c>
      <c r="T40" s="181">
        <f t="shared" si="6"/>
        <v>0</v>
      </c>
      <c r="U40" s="187">
        <v>12</v>
      </c>
      <c r="V40" s="182"/>
      <c r="W40" s="182"/>
      <c r="X40" s="182"/>
      <c r="Y40" s="182"/>
      <c r="Z40" s="183">
        <v>63.524999999999999</v>
      </c>
      <c r="AA40" s="183">
        <v>103.95</v>
      </c>
      <c r="AB40" s="176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21.95" customHeight="1">
      <c r="A41" s="11">
        <v>8423</v>
      </c>
      <c r="B41" s="22" t="s">
        <v>155</v>
      </c>
      <c r="C41" s="51"/>
      <c r="D41" s="140">
        <v>27.51</v>
      </c>
      <c r="E41" s="177">
        <f t="shared" si="0"/>
        <v>0</v>
      </c>
      <c r="F41" s="177">
        <f t="shared" si="7"/>
        <v>0</v>
      </c>
      <c r="G41" s="58"/>
      <c r="H41" s="177"/>
      <c r="I41" s="59">
        <v>7.0000000000000007E-2</v>
      </c>
      <c r="J41" s="59"/>
      <c r="K41" s="177">
        <f t="shared" si="1"/>
        <v>0</v>
      </c>
      <c r="L41" s="178">
        <v>0.20499999999999999</v>
      </c>
      <c r="M41" s="177"/>
      <c r="N41" s="177"/>
      <c r="O41" s="177">
        <f t="shared" si="2"/>
        <v>0</v>
      </c>
      <c r="P41" s="177">
        <f t="shared" si="3"/>
        <v>0</v>
      </c>
      <c r="Q41" s="185">
        <v>0.14299999999999999</v>
      </c>
      <c r="R41" s="180">
        <f t="shared" si="4"/>
        <v>0</v>
      </c>
      <c r="S41" s="180">
        <f t="shared" si="5"/>
        <v>0</v>
      </c>
      <c r="T41" s="181">
        <f t="shared" si="6"/>
        <v>0</v>
      </c>
      <c r="U41" s="187">
        <v>12</v>
      </c>
      <c r="V41" s="182"/>
      <c r="W41" s="182"/>
      <c r="X41" s="182"/>
      <c r="Y41" s="182"/>
      <c r="Z41" s="183">
        <v>98.174999999999997</v>
      </c>
      <c r="AA41" s="183">
        <v>157.07999999999998</v>
      </c>
      <c r="AB41" s="176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21.95" customHeight="1">
      <c r="A42" s="11">
        <v>8446</v>
      </c>
      <c r="B42" s="102" t="s">
        <v>156</v>
      </c>
      <c r="C42" s="51"/>
      <c r="D42" s="140">
        <v>17.96</v>
      </c>
      <c r="E42" s="177">
        <f t="shared" si="0"/>
        <v>0</v>
      </c>
      <c r="F42" s="177">
        <f t="shared" si="7"/>
        <v>0</v>
      </c>
      <c r="G42" s="58"/>
      <c r="H42" s="177"/>
      <c r="I42" s="59">
        <v>7.0000000000000007E-2</v>
      </c>
      <c r="J42" s="59"/>
      <c r="K42" s="177">
        <f t="shared" si="1"/>
        <v>0</v>
      </c>
      <c r="L42" s="178">
        <v>0.20499999999999999</v>
      </c>
      <c r="M42" s="177"/>
      <c r="N42" s="177"/>
      <c r="O42" s="177">
        <f t="shared" si="2"/>
        <v>0</v>
      </c>
      <c r="P42" s="177">
        <f t="shared" si="3"/>
        <v>0</v>
      </c>
      <c r="Q42" s="185">
        <v>0.14299999999999999</v>
      </c>
      <c r="R42" s="180">
        <f t="shared" si="4"/>
        <v>0</v>
      </c>
      <c r="S42" s="180">
        <f t="shared" si="5"/>
        <v>0</v>
      </c>
      <c r="T42" s="181">
        <f t="shared" si="6"/>
        <v>0</v>
      </c>
      <c r="U42" s="187">
        <v>24</v>
      </c>
      <c r="V42" s="182"/>
      <c r="W42" s="182"/>
      <c r="X42" s="182"/>
      <c r="Y42" s="182"/>
      <c r="Z42" s="183">
        <v>63.524999999999999</v>
      </c>
      <c r="AA42" s="183">
        <v>102.2175</v>
      </c>
      <c r="AB42" s="176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21.95" customHeight="1">
      <c r="A43" s="93">
        <v>8466</v>
      </c>
      <c r="B43" s="129" t="s">
        <v>305</v>
      </c>
      <c r="C43" s="96"/>
      <c r="D43" s="130">
        <v>178.5</v>
      </c>
      <c r="E43" s="177">
        <f t="shared" si="0"/>
        <v>0</v>
      </c>
      <c r="F43" s="177">
        <f t="shared" si="7"/>
        <v>0</v>
      </c>
      <c r="G43" s="58"/>
      <c r="H43" s="177"/>
      <c r="I43" s="59">
        <v>7.0000000000000007E-2</v>
      </c>
      <c r="J43" s="59"/>
      <c r="K43" s="177">
        <f t="shared" si="1"/>
        <v>0</v>
      </c>
      <c r="L43" s="178">
        <v>0.20499999999999999</v>
      </c>
      <c r="M43" s="177"/>
      <c r="N43" s="177"/>
      <c r="O43" s="177">
        <f t="shared" si="2"/>
        <v>0</v>
      </c>
      <c r="P43" s="177">
        <f t="shared" si="3"/>
        <v>0</v>
      </c>
      <c r="Q43" s="185">
        <v>0.14299999999999999</v>
      </c>
      <c r="R43" s="180">
        <f t="shared" si="4"/>
        <v>0</v>
      </c>
      <c r="S43" s="180">
        <f t="shared" si="5"/>
        <v>0</v>
      </c>
      <c r="T43" s="181">
        <f t="shared" si="6"/>
        <v>0</v>
      </c>
      <c r="U43" s="187">
        <v>35</v>
      </c>
      <c r="V43" s="182"/>
      <c r="W43" s="182"/>
      <c r="X43" s="182"/>
      <c r="Y43" s="182"/>
      <c r="Z43" s="183">
        <v>20</v>
      </c>
      <c r="AA43" s="184" t="s">
        <v>217</v>
      </c>
      <c r="AB43" s="176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21.95" customHeight="1">
      <c r="A44" s="11">
        <v>8170</v>
      </c>
      <c r="B44" s="23" t="s">
        <v>157</v>
      </c>
      <c r="C44" s="51"/>
      <c r="D44" s="141">
        <v>17.010000000000002</v>
      </c>
      <c r="E44" s="177">
        <f t="shared" si="0"/>
        <v>0</v>
      </c>
      <c r="F44" s="177">
        <f t="shared" si="7"/>
        <v>0</v>
      </c>
      <c r="G44" s="58"/>
      <c r="H44" s="177"/>
      <c r="I44" s="59">
        <v>7.0000000000000007E-2</v>
      </c>
      <c r="J44" s="59"/>
      <c r="K44" s="177">
        <f t="shared" si="1"/>
        <v>0</v>
      </c>
      <c r="L44" s="178">
        <v>0.20499999999999999</v>
      </c>
      <c r="M44" s="177"/>
      <c r="N44" s="177"/>
      <c r="O44" s="177">
        <f t="shared" si="2"/>
        <v>0</v>
      </c>
      <c r="P44" s="177">
        <f t="shared" si="3"/>
        <v>0</v>
      </c>
      <c r="Q44" s="179">
        <v>4.5499999999999999E-2</v>
      </c>
      <c r="R44" s="180">
        <f t="shared" si="4"/>
        <v>0</v>
      </c>
      <c r="S44" s="180">
        <f t="shared" si="5"/>
        <v>0</v>
      </c>
      <c r="T44" s="181">
        <f t="shared" si="6"/>
        <v>0</v>
      </c>
      <c r="U44" s="188">
        <v>24</v>
      </c>
      <c r="V44" s="182"/>
      <c r="W44" s="182"/>
      <c r="X44" s="182"/>
      <c r="Y44" s="182"/>
      <c r="Z44" s="183">
        <v>57.634500000000003</v>
      </c>
      <c r="AA44" s="183">
        <v>92.4</v>
      </c>
      <c r="AB44" s="176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21.95" customHeight="1">
      <c r="A45" s="11">
        <v>8194</v>
      </c>
      <c r="B45" s="23" t="s">
        <v>158</v>
      </c>
      <c r="C45" s="51"/>
      <c r="D45" s="141">
        <v>17.010000000000002</v>
      </c>
      <c r="E45" s="177">
        <f t="shared" si="0"/>
        <v>0</v>
      </c>
      <c r="F45" s="177">
        <f t="shared" si="7"/>
        <v>0</v>
      </c>
      <c r="G45" s="58"/>
      <c r="H45" s="177"/>
      <c r="I45" s="59">
        <v>7.0000000000000007E-2</v>
      </c>
      <c r="J45" s="59"/>
      <c r="K45" s="177">
        <f t="shared" si="1"/>
        <v>0</v>
      </c>
      <c r="L45" s="178">
        <v>0.20499999999999999</v>
      </c>
      <c r="M45" s="177"/>
      <c r="N45" s="177"/>
      <c r="O45" s="177">
        <f t="shared" si="2"/>
        <v>0</v>
      </c>
      <c r="P45" s="177">
        <f t="shared" si="3"/>
        <v>0</v>
      </c>
      <c r="Q45" s="179">
        <v>4.5499999999999999E-2</v>
      </c>
      <c r="R45" s="180">
        <f t="shared" si="4"/>
        <v>0</v>
      </c>
      <c r="S45" s="180">
        <f t="shared" si="5"/>
        <v>0</v>
      </c>
      <c r="T45" s="181">
        <f t="shared" si="6"/>
        <v>0</v>
      </c>
      <c r="U45" s="188">
        <v>24</v>
      </c>
      <c r="V45" s="182"/>
      <c r="W45" s="182"/>
      <c r="X45" s="182"/>
      <c r="Y45" s="182"/>
      <c r="Z45" s="183">
        <v>57.634500000000003</v>
      </c>
      <c r="AA45" s="183">
        <v>92.4</v>
      </c>
      <c r="AB45" s="176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21.95" customHeight="1">
      <c r="A46" s="11">
        <v>8187</v>
      </c>
      <c r="B46" s="23" t="s">
        <v>159</v>
      </c>
      <c r="C46" s="51"/>
      <c r="D46" s="141">
        <v>20.16</v>
      </c>
      <c r="E46" s="177">
        <f t="shared" si="0"/>
        <v>0</v>
      </c>
      <c r="F46" s="177">
        <f t="shared" si="7"/>
        <v>0</v>
      </c>
      <c r="G46" s="58"/>
      <c r="H46" s="177"/>
      <c r="I46" s="59">
        <v>7.0000000000000007E-2</v>
      </c>
      <c r="J46" s="59"/>
      <c r="K46" s="177">
        <f t="shared" si="1"/>
        <v>0</v>
      </c>
      <c r="L46" s="178">
        <v>0.20499999999999999</v>
      </c>
      <c r="M46" s="177"/>
      <c r="N46" s="177"/>
      <c r="O46" s="177">
        <f t="shared" si="2"/>
        <v>0</v>
      </c>
      <c r="P46" s="177">
        <f t="shared" si="3"/>
        <v>0</v>
      </c>
      <c r="Q46" s="185">
        <v>0.14299999999999999</v>
      </c>
      <c r="R46" s="180">
        <f t="shared" si="4"/>
        <v>0</v>
      </c>
      <c r="S46" s="180">
        <f t="shared" si="5"/>
        <v>0</v>
      </c>
      <c r="T46" s="181">
        <f t="shared" si="6"/>
        <v>0</v>
      </c>
      <c r="U46" s="188">
        <v>12</v>
      </c>
      <c r="V46" s="182"/>
      <c r="W46" s="182"/>
      <c r="X46" s="182"/>
      <c r="Y46" s="182"/>
      <c r="Z46" s="183">
        <v>71.61</v>
      </c>
      <c r="AA46" s="183">
        <v>114.9225</v>
      </c>
      <c r="AB46" s="176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21.95" customHeight="1">
      <c r="A47" s="11">
        <v>8188</v>
      </c>
      <c r="B47" s="23" t="s">
        <v>160</v>
      </c>
      <c r="C47" s="51"/>
      <c r="D47" s="141">
        <v>30.14</v>
      </c>
      <c r="E47" s="177">
        <f t="shared" si="0"/>
        <v>0</v>
      </c>
      <c r="F47" s="177">
        <f t="shared" si="7"/>
        <v>0</v>
      </c>
      <c r="G47" s="58"/>
      <c r="H47" s="177"/>
      <c r="I47" s="59">
        <v>7.0000000000000007E-2</v>
      </c>
      <c r="J47" s="59"/>
      <c r="K47" s="177">
        <f t="shared" si="1"/>
        <v>0</v>
      </c>
      <c r="L47" s="178">
        <v>0.20499999999999999</v>
      </c>
      <c r="M47" s="177"/>
      <c r="N47" s="177"/>
      <c r="O47" s="177">
        <f t="shared" si="2"/>
        <v>0</v>
      </c>
      <c r="P47" s="177">
        <f t="shared" si="3"/>
        <v>0</v>
      </c>
      <c r="Q47" s="185">
        <v>0.14299999999999999</v>
      </c>
      <c r="R47" s="180">
        <f t="shared" si="4"/>
        <v>0</v>
      </c>
      <c r="S47" s="180">
        <f t="shared" si="5"/>
        <v>0</v>
      </c>
      <c r="T47" s="181">
        <f t="shared" si="6"/>
        <v>0</v>
      </c>
      <c r="U47" s="188">
        <v>12</v>
      </c>
      <c r="V47" s="182"/>
      <c r="W47" s="182"/>
      <c r="X47" s="182"/>
      <c r="Y47" s="182"/>
      <c r="Z47" s="183">
        <v>106.26</v>
      </c>
      <c r="AA47" s="183">
        <v>170.94</v>
      </c>
      <c r="AB47" s="176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21.95" customHeight="1">
      <c r="A48" s="11">
        <v>8200</v>
      </c>
      <c r="B48" s="23" t="s">
        <v>161</v>
      </c>
      <c r="C48" s="51"/>
      <c r="D48" s="141">
        <v>17.96</v>
      </c>
      <c r="E48" s="177">
        <f t="shared" si="0"/>
        <v>0</v>
      </c>
      <c r="F48" s="177">
        <f t="shared" si="7"/>
        <v>0</v>
      </c>
      <c r="G48" s="58"/>
      <c r="H48" s="177"/>
      <c r="I48" s="59">
        <v>7.0000000000000007E-2</v>
      </c>
      <c r="J48" s="59"/>
      <c r="K48" s="177">
        <f t="shared" si="1"/>
        <v>0</v>
      </c>
      <c r="L48" s="178">
        <v>0.20499999999999999</v>
      </c>
      <c r="M48" s="177"/>
      <c r="N48" s="177"/>
      <c r="O48" s="177">
        <f t="shared" si="2"/>
        <v>0</v>
      </c>
      <c r="P48" s="177">
        <f t="shared" si="3"/>
        <v>0</v>
      </c>
      <c r="Q48" s="185">
        <v>0.14299999999999999</v>
      </c>
      <c r="R48" s="180">
        <f t="shared" si="4"/>
        <v>0</v>
      </c>
      <c r="S48" s="180">
        <f t="shared" si="5"/>
        <v>0</v>
      </c>
      <c r="T48" s="181">
        <f t="shared" si="6"/>
        <v>0</v>
      </c>
      <c r="U48" s="188">
        <v>24</v>
      </c>
      <c r="V48" s="182"/>
      <c r="W48" s="182"/>
      <c r="X48" s="182"/>
      <c r="Y48" s="182"/>
      <c r="Z48" s="183">
        <v>64.680000000000007</v>
      </c>
      <c r="AA48" s="183">
        <v>102.43695</v>
      </c>
      <c r="AB48" s="176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21.95" customHeight="1">
      <c r="A49" s="11">
        <v>8217</v>
      </c>
      <c r="B49" s="24" t="s">
        <v>162</v>
      </c>
      <c r="C49" s="51"/>
      <c r="D49" s="142">
        <v>15.12</v>
      </c>
      <c r="E49" s="177">
        <f t="shared" si="0"/>
        <v>0</v>
      </c>
      <c r="F49" s="177">
        <f t="shared" si="7"/>
        <v>0</v>
      </c>
      <c r="G49" s="58"/>
      <c r="H49" s="177"/>
      <c r="I49" s="59">
        <v>7.0000000000000007E-2</v>
      </c>
      <c r="J49" s="59"/>
      <c r="K49" s="177">
        <f t="shared" si="1"/>
        <v>0</v>
      </c>
      <c r="L49" s="178">
        <v>0.20499999999999999</v>
      </c>
      <c r="M49" s="177"/>
      <c r="N49" s="177"/>
      <c r="O49" s="177">
        <f t="shared" si="2"/>
        <v>0</v>
      </c>
      <c r="P49" s="177">
        <f t="shared" si="3"/>
        <v>0</v>
      </c>
      <c r="Q49" s="179">
        <v>4.5499999999999999E-2</v>
      </c>
      <c r="R49" s="180">
        <f t="shared" si="4"/>
        <v>0</v>
      </c>
      <c r="S49" s="180">
        <f t="shared" si="5"/>
        <v>0</v>
      </c>
      <c r="T49" s="181">
        <f t="shared" si="6"/>
        <v>0</v>
      </c>
      <c r="U49" s="189">
        <v>24</v>
      </c>
      <c r="V49" s="182"/>
      <c r="W49" s="182"/>
      <c r="X49" s="182"/>
      <c r="Y49" s="182"/>
      <c r="Z49" s="183">
        <v>53.13</v>
      </c>
      <c r="AA49" s="183">
        <v>85.47</v>
      </c>
      <c r="AB49" s="176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21.95" customHeight="1">
      <c r="A50" s="11">
        <v>8231</v>
      </c>
      <c r="B50" s="24" t="s">
        <v>163</v>
      </c>
      <c r="C50" s="51"/>
      <c r="D50" s="142">
        <v>15.12</v>
      </c>
      <c r="E50" s="177">
        <f t="shared" si="0"/>
        <v>0</v>
      </c>
      <c r="F50" s="177">
        <f t="shared" si="7"/>
        <v>0</v>
      </c>
      <c r="G50" s="58"/>
      <c r="H50" s="177"/>
      <c r="I50" s="59">
        <v>7.0000000000000007E-2</v>
      </c>
      <c r="J50" s="59"/>
      <c r="K50" s="177">
        <f t="shared" si="1"/>
        <v>0</v>
      </c>
      <c r="L50" s="178">
        <v>0.20499999999999999</v>
      </c>
      <c r="M50" s="177"/>
      <c r="N50" s="177"/>
      <c r="O50" s="177">
        <f t="shared" si="2"/>
        <v>0</v>
      </c>
      <c r="P50" s="177">
        <f t="shared" si="3"/>
        <v>0</v>
      </c>
      <c r="Q50" s="179">
        <v>4.5499999999999999E-2</v>
      </c>
      <c r="R50" s="180">
        <f t="shared" si="4"/>
        <v>0</v>
      </c>
      <c r="S50" s="180">
        <f t="shared" si="5"/>
        <v>0</v>
      </c>
      <c r="T50" s="181">
        <f t="shared" si="6"/>
        <v>0</v>
      </c>
      <c r="U50" s="189">
        <v>24</v>
      </c>
      <c r="V50" s="182"/>
      <c r="W50" s="182"/>
      <c r="X50" s="182"/>
      <c r="Y50" s="182"/>
      <c r="Z50" s="183">
        <v>53.13</v>
      </c>
      <c r="AA50" s="183">
        <v>85.47</v>
      </c>
      <c r="AB50" s="176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21.95" customHeight="1">
      <c r="A51" s="11">
        <v>8224</v>
      </c>
      <c r="B51" s="24" t="s">
        <v>164</v>
      </c>
      <c r="C51" s="51"/>
      <c r="D51" s="142">
        <v>18.38</v>
      </c>
      <c r="E51" s="177">
        <f t="shared" si="0"/>
        <v>0</v>
      </c>
      <c r="F51" s="177">
        <f t="shared" si="7"/>
        <v>0</v>
      </c>
      <c r="G51" s="58"/>
      <c r="H51" s="177"/>
      <c r="I51" s="59">
        <v>7.0000000000000007E-2</v>
      </c>
      <c r="J51" s="59"/>
      <c r="K51" s="177">
        <f t="shared" si="1"/>
        <v>0</v>
      </c>
      <c r="L51" s="178">
        <v>0.20499999999999999</v>
      </c>
      <c r="M51" s="177"/>
      <c r="N51" s="177"/>
      <c r="O51" s="177">
        <f t="shared" si="2"/>
        <v>0</v>
      </c>
      <c r="P51" s="177">
        <f t="shared" si="3"/>
        <v>0</v>
      </c>
      <c r="Q51" s="185">
        <v>0.14299999999999999</v>
      </c>
      <c r="R51" s="180">
        <f t="shared" si="4"/>
        <v>0</v>
      </c>
      <c r="S51" s="180">
        <f t="shared" si="5"/>
        <v>0</v>
      </c>
      <c r="T51" s="181">
        <f t="shared" si="6"/>
        <v>0</v>
      </c>
      <c r="U51" s="189">
        <v>12</v>
      </c>
      <c r="V51" s="182"/>
      <c r="W51" s="182"/>
      <c r="X51" s="182"/>
      <c r="Y51" s="182"/>
      <c r="Z51" s="183">
        <v>64.680000000000007</v>
      </c>
      <c r="AA51" s="183">
        <v>103.95</v>
      </c>
      <c r="AB51" s="176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21.95" customHeight="1">
      <c r="A52" s="11">
        <v>8225</v>
      </c>
      <c r="B52" s="24" t="s">
        <v>165</v>
      </c>
      <c r="C52" s="51"/>
      <c r="D52" s="142">
        <v>27.51</v>
      </c>
      <c r="E52" s="177">
        <f t="shared" si="0"/>
        <v>0</v>
      </c>
      <c r="F52" s="177">
        <f t="shared" si="7"/>
        <v>0</v>
      </c>
      <c r="G52" s="58"/>
      <c r="H52" s="177"/>
      <c r="I52" s="59">
        <v>7.0000000000000007E-2</v>
      </c>
      <c r="J52" s="59"/>
      <c r="K52" s="177">
        <f t="shared" si="1"/>
        <v>0</v>
      </c>
      <c r="L52" s="178">
        <v>0.20499999999999999</v>
      </c>
      <c r="M52" s="177"/>
      <c r="N52" s="177"/>
      <c r="O52" s="177">
        <f t="shared" si="2"/>
        <v>0</v>
      </c>
      <c r="P52" s="177">
        <f t="shared" si="3"/>
        <v>0</v>
      </c>
      <c r="Q52" s="185">
        <v>0.14299999999999999</v>
      </c>
      <c r="R52" s="180">
        <f t="shared" si="4"/>
        <v>0</v>
      </c>
      <c r="S52" s="180">
        <f t="shared" si="5"/>
        <v>0</v>
      </c>
      <c r="T52" s="181">
        <f t="shared" si="6"/>
        <v>0</v>
      </c>
      <c r="U52" s="189">
        <v>12</v>
      </c>
      <c r="V52" s="182"/>
      <c r="W52" s="182"/>
      <c r="X52" s="182"/>
      <c r="Y52" s="182"/>
      <c r="Z52" s="183">
        <v>98.174999999999997</v>
      </c>
      <c r="AA52" s="183">
        <v>156.5025</v>
      </c>
      <c r="AB52" s="176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21.95" customHeight="1">
      <c r="A53" s="11">
        <v>8248</v>
      </c>
      <c r="B53" s="24" t="s">
        <v>166</v>
      </c>
      <c r="C53" s="51"/>
      <c r="D53" s="142">
        <v>17.96</v>
      </c>
      <c r="E53" s="177">
        <f t="shared" si="0"/>
        <v>0</v>
      </c>
      <c r="F53" s="177">
        <f t="shared" si="7"/>
        <v>0</v>
      </c>
      <c r="G53" s="58"/>
      <c r="H53" s="177"/>
      <c r="I53" s="59">
        <v>7.0000000000000007E-2</v>
      </c>
      <c r="J53" s="59"/>
      <c r="K53" s="177">
        <f t="shared" si="1"/>
        <v>0</v>
      </c>
      <c r="L53" s="178">
        <v>0.20499999999999999</v>
      </c>
      <c r="M53" s="177"/>
      <c r="N53" s="177"/>
      <c r="O53" s="177">
        <f t="shared" si="2"/>
        <v>0</v>
      </c>
      <c r="P53" s="177">
        <f t="shared" si="3"/>
        <v>0</v>
      </c>
      <c r="Q53" s="185">
        <v>0.14299999999999999</v>
      </c>
      <c r="R53" s="180">
        <f t="shared" si="4"/>
        <v>0</v>
      </c>
      <c r="S53" s="180">
        <f t="shared" si="5"/>
        <v>0</v>
      </c>
      <c r="T53" s="181">
        <f t="shared" si="6"/>
        <v>0</v>
      </c>
      <c r="U53" s="189">
        <v>24</v>
      </c>
      <c r="V53" s="182"/>
      <c r="W53" s="182"/>
      <c r="X53" s="182"/>
      <c r="Y53" s="182"/>
      <c r="Z53" s="183">
        <v>63.524999999999999</v>
      </c>
      <c r="AA53" s="183">
        <v>102.2175</v>
      </c>
      <c r="AB53" s="176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21.95" customHeight="1">
      <c r="A54" s="11">
        <v>8249</v>
      </c>
      <c r="B54" s="24" t="s">
        <v>167</v>
      </c>
      <c r="C54" s="51"/>
      <c r="D54" s="142">
        <v>61.85</v>
      </c>
      <c r="E54" s="177">
        <f t="shared" si="0"/>
        <v>0</v>
      </c>
      <c r="F54" s="177">
        <f t="shared" si="7"/>
        <v>0</v>
      </c>
      <c r="G54" s="58"/>
      <c r="H54" s="177"/>
      <c r="I54" s="59">
        <v>7.0000000000000007E-2</v>
      </c>
      <c r="J54" s="59"/>
      <c r="K54" s="177">
        <f t="shared" si="1"/>
        <v>0</v>
      </c>
      <c r="L54" s="178">
        <v>0.20499999999999999</v>
      </c>
      <c r="M54" s="177"/>
      <c r="N54" s="177"/>
      <c r="O54" s="177">
        <f t="shared" si="2"/>
        <v>0</v>
      </c>
      <c r="P54" s="177">
        <f t="shared" si="3"/>
        <v>0</v>
      </c>
      <c r="Q54" s="185">
        <v>0.14299999999999999</v>
      </c>
      <c r="R54" s="180">
        <f t="shared" si="4"/>
        <v>0</v>
      </c>
      <c r="S54" s="180">
        <f t="shared" si="5"/>
        <v>0</v>
      </c>
      <c r="T54" s="181">
        <f t="shared" si="6"/>
        <v>0</v>
      </c>
      <c r="U54" s="189">
        <v>12</v>
      </c>
      <c r="V54" s="182"/>
      <c r="W54" s="182"/>
      <c r="X54" s="182"/>
      <c r="Y54" s="182"/>
      <c r="Z54" s="183">
        <v>185.535</v>
      </c>
      <c r="AA54" s="183">
        <v>259.35000000000002</v>
      </c>
      <c r="AB54" s="176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21.95" customHeight="1">
      <c r="A55" s="93">
        <v>8050</v>
      </c>
      <c r="B55" s="25" t="s">
        <v>311</v>
      </c>
      <c r="C55" s="96"/>
      <c r="D55" s="144">
        <v>64.974000000000004</v>
      </c>
      <c r="E55" s="177">
        <f t="shared" ref="E55:E56" si="17">D55*C55</f>
        <v>0</v>
      </c>
      <c r="F55" s="177">
        <f t="shared" ref="F55:F56" si="18">E55+R55</f>
        <v>0</v>
      </c>
      <c r="G55" s="58"/>
      <c r="H55" s="177"/>
      <c r="I55" s="59">
        <v>7.0000000000000007E-2</v>
      </c>
      <c r="J55" s="59"/>
      <c r="K55" s="177">
        <f t="shared" ref="K55:K56" si="19">N55*J55</f>
        <v>0</v>
      </c>
      <c r="L55" s="178">
        <v>0.20499999999999999</v>
      </c>
      <c r="M55" s="177"/>
      <c r="N55" s="177"/>
      <c r="O55" s="177">
        <f t="shared" ref="O55:O56" si="20">(N55*L55-M55)+K55</f>
        <v>0</v>
      </c>
      <c r="P55" s="177">
        <f t="shared" ref="P55:P56" si="21">E55+O55</f>
        <v>0</v>
      </c>
      <c r="Q55" s="179">
        <v>4.5499999999999999E-2</v>
      </c>
      <c r="R55" s="180">
        <f t="shared" ref="R55:R56" si="22">E55*Q55</f>
        <v>0</v>
      </c>
      <c r="S55" s="180">
        <f t="shared" ref="S55:S56" si="23">E55+R55+O55</f>
        <v>0</v>
      </c>
      <c r="T55" s="181">
        <f t="shared" ref="T55:T56" si="24">C55/U55</f>
        <v>0</v>
      </c>
      <c r="U55" s="190">
        <v>12</v>
      </c>
      <c r="V55" s="182"/>
      <c r="W55" s="182"/>
      <c r="X55" s="182"/>
      <c r="Y55" s="182"/>
      <c r="Z55" s="183">
        <v>242.55</v>
      </c>
      <c r="AA55" s="184" t="s">
        <v>217</v>
      </c>
      <c r="AB55" s="176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21.95" customHeight="1">
      <c r="A56" s="93">
        <v>8049</v>
      </c>
      <c r="B56" s="25" t="s">
        <v>312</v>
      </c>
      <c r="C56" s="96"/>
      <c r="D56" s="144">
        <v>99.45</v>
      </c>
      <c r="E56" s="177">
        <f t="shared" si="17"/>
        <v>0</v>
      </c>
      <c r="F56" s="177">
        <f t="shared" si="18"/>
        <v>0</v>
      </c>
      <c r="G56" s="58"/>
      <c r="H56" s="177"/>
      <c r="I56" s="59">
        <v>7.0000000000000007E-2</v>
      </c>
      <c r="J56" s="59"/>
      <c r="K56" s="177">
        <f t="shared" si="19"/>
        <v>0</v>
      </c>
      <c r="L56" s="178">
        <v>0.20499999999999999</v>
      </c>
      <c r="M56" s="177"/>
      <c r="N56" s="177"/>
      <c r="O56" s="177">
        <f t="shared" si="20"/>
        <v>0</v>
      </c>
      <c r="P56" s="177">
        <f t="shared" si="21"/>
        <v>0</v>
      </c>
      <c r="Q56" s="185">
        <v>0.14299999999999999</v>
      </c>
      <c r="R56" s="180">
        <f t="shared" si="22"/>
        <v>0</v>
      </c>
      <c r="S56" s="180">
        <f t="shared" si="23"/>
        <v>0</v>
      </c>
      <c r="T56" s="181">
        <f t="shared" si="24"/>
        <v>0</v>
      </c>
      <c r="U56" s="190">
        <v>12</v>
      </c>
      <c r="V56" s="182"/>
      <c r="W56" s="182"/>
      <c r="X56" s="182"/>
      <c r="Y56" s="182"/>
      <c r="Z56" s="183">
        <v>369.6</v>
      </c>
      <c r="AA56" s="184" t="s">
        <v>217</v>
      </c>
      <c r="AB56" s="176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21.95" customHeight="1">
      <c r="A57" s="11">
        <v>8255</v>
      </c>
      <c r="B57" s="25" t="s">
        <v>168</v>
      </c>
      <c r="C57" s="51"/>
      <c r="D57" s="144">
        <v>42.89</v>
      </c>
      <c r="E57" s="177">
        <f>D57*C57</f>
        <v>0</v>
      </c>
      <c r="F57" s="177">
        <f>E57+R57</f>
        <v>0</v>
      </c>
      <c r="G57" s="58"/>
      <c r="H57" s="177"/>
      <c r="I57" s="59">
        <v>7.0000000000000007E-2</v>
      </c>
      <c r="J57" s="59"/>
      <c r="K57" s="177">
        <f>N57*J57</f>
        <v>0</v>
      </c>
      <c r="L57" s="178">
        <v>0.20499999999999999</v>
      </c>
      <c r="M57" s="177"/>
      <c r="N57" s="177"/>
      <c r="O57" s="177">
        <f>(N57*L57-M57)+K57</f>
        <v>0</v>
      </c>
      <c r="P57" s="177">
        <f>E57+O57</f>
        <v>0</v>
      </c>
      <c r="Q57" s="185">
        <v>0.14299999999999999</v>
      </c>
      <c r="R57" s="180">
        <f>E57*Q57</f>
        <v>0</v>
      </c>
      <c r="S57" s="180">
        <f>E57+R57+O57</f>
        <v>0</v>
      </c>
      <c r="T57" s="181">
        <f>C57/U57</f>
        <v>0</v>
      </c>
      <c r="U57" s="190">
        <v>12</v>
      </c>
      <c r="V57" s="182"/>
      <c r="W57" s="182"/>
      <c r="X57" s="182"/>
      <c r="Y57" s="182"/>
      <c r="Z57" s="183">
        <v>138.6</v>
      </c>
      <c r="AA57" s="184" t="s">
        <v>217</v>
      </c>
      <c r="AB57" s="176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21.95" customHeight="1">
      <c r="A58" s="93">
        <v>8042</v>
      </c>
      <c r="B58" s="25" t="s">
        <v>260</v>
      </c>
      <c r="C58" s="98"/>
      <c r="D58" s="143">
        <v>15.120000000000001</v>
      </c>
      <c r="E58" s="177">
        <f t="shared" si="0"/>
        <v>0</v>
      </c>
      <c r="F58" s="177">
        <f t="shared" si="7"/>
        <v>0</v>
      </c>
      <c r="G58" s="58"/>
      <c r="H58" s="177"/>
      <c r="I58" s="59">
        <v>7.0000000000000007E-2</v>
      </c>
      <c r="J58" s="59"/>
      <c r="K58" s="177">
        <f t="shared" si="1"/>
        <v>0</v>
      </c>
      <c r="L58" s="178">
        <v>0.20499999999999999</v>
      </c>
      <c r="M58" s="177"/>
      <c r="N58" s="177"/>
      <c r="O58" s="177">
        <f t="shared" si="2"/>
        <v>0</v>
      </c>
      <c r="P58" s="177">
        <f t="shared" si="3"/>
        <v>0</v>
      </c>
      <c r="Q58" s="179">
        <v>4.5499999999999999E-2</v>
      </c>
      <c r="R58" s="180">
        <f t="shared" si="4"/>
        <v>0</v>
      </c>
      <c r="S58" s="180">
        <f t="shared" si="5"/>
        <v>0</v>
      </c>
      <c r="T58" s="181">
        <f t="shared" si="6"/>
        <v>0</v>
      </c>
      <c r="U58" s="190">
        <v>24</v>
      </c>
      <c r="V58" s="182"/>
      <c r="W58" s="182"/>
      <c r="X58" s="182"/>
      <c r="Y58" s="182"/>
      <c r="Z58" s="183">
        <v>53.13</v>
      </c>
      <c r="AA58" s="183">
        <v>85.47</v>
      </c>
      <c r="AB58" s="176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21.95" customHeight="1">
      <c r="A59" s="93">
        <v>8041</v>
      </c>
      <c r="B59" s="25" t="s">
        <v>261</v>
      </c>
      <c r="C59" s="98"/>
      <c r="D59" s="143">
        <v>15.120000000000001</v>
      </c>
      <c r="E59" s="177">
        <f t="shared" si="0"/>
        <v>0</v>
      </c>
      <c r="F59" s="177">
        <f t="shared" si="7"/>
        <v>0</v>
      </c>
      <c r="G59" s="58"/>
      <c r="H59" s="177"/>
      <c r="I59" s="59">
        <v>7.0000000000000007E-2</v>
      </c>
      <c r="J59" s="59"/>
      <c r="K59" s="177">
        <f t="shared" si="1"/>
        <v>0</v>
      </c>
      <c r="L59" s="178">
        <v>0.20499999999999999</v>
      </c>
      <c r="M59" s="177"/>
      <c r="N59" s="177"/>
      <c r="O59" s="177">
        <f t="shared" si="2"/>
        <v>0</v>
      </c>
      <c r="P59" s="177">
        <f t="shared" si="3"/>
        <v>0</v>
      </c>
      <c r="Q59" s="179">
        <v>4.5499999999999999E-2</v>
      </c>
      <c r="R59" s="180">
        <f t="shared" si="4"/>
        <v>0</v>
      </c>
      <c r="S59" s="180">
        <f t="shared" si="5"/>
        <v>0</v>
      </c>
      <c r="T59" s="181">
        <f t="shared" si="6"/>
        <v>0</v>
      </c>
      <c r="U59" s="190">
        <v>24</v>
      </c>
      <c r="V59" s="182"/>
      <c r="W59" s="182"/>
      <c r="X59" s="182"/>
      <c r="Y59" s="182"/>
      <c r="Z59" s="183">
        <v>53.13</v>
      </c>
      <c r="AA59" s="183">
        <v>85.47</v>
      </c>
      <c r="AB59" s="176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21.95" customHeight="1">
      <c r="A60" s="93">
        <v>8043</v>
      </c>
      <c r="B60" s="25" t="s">
        <v>262</v>
      </c>
      <c r="C60" s="99"/>
      <c r="D60" s="143">
        <v>18.375</v>
      </c>
      <c r="E60" s="177">
        <f t="shared" si="0"/>
        <v>0</v>
      </c>
      <c r="F60" s="177">
        <f t="shared" si="7"/>
        <v>0</v>
      </c>
      <c r="G60" s="58"/>
      <c r="H60" s="177"/>
      <c r="I60" s="59">
        <v>7.0000000000000007E-2</v>
      </c>
      <c r="J60" s="59"/>
      <c r="K60" s="177">
        <f t="shared" si="1"/>
        <v>0</v>
      </c>
      <c r="L60" s="178">
        <v>0.20499999999999999</v>
      </c>
      <c r="M60" s="177"/>
      <c r="N60" s="177"/>
      <c r="O60" s="177">
        <f t="shared" si="2"/>
        <v>0</v>
      </c>
      <c r="P60" s="177">
        <f t="shared" si="3"/>
        <v>0</v>
      </c>
      <c r="Q60" s="185">
        <v>0.14299999999999999</v>
      </c>
      <c r="R60" s="180">
        <f t="shared" si="4"/>
        <v>0</v>
      </c>
      <c r="S60" s="180">
        <f t="shared" si="5"/>
        <v>0</v>
      </c>
      <c r="T60" s="181">
        <f t="shared" si="6"/>
        <v>0</v>
      </c>
      <c r="U60" s="190">
        <v>12</v>
      </c>
      <c r="V60" s="182"/>
      <c r="W60" s="182"/>
      <c r="X60" s="182"/>
      <c r="Y60" s="182"/>
      <c r="Z60" s="183">
        <v>64.680000000000007</v>
      </c>
      <c r="AA60" s="183">
        <v>103.95</v>
      </c>
      <c r="AB60" s="176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21.95" customHeight="1">
      <c r="A61" s="93">
        <v>8045</v>
      </c>
      <c r="B61" s="25" t="s">
        <v>263</v>
      </c>
      <c r="C61" s="99"/>
      <c r="D61" s="143">
        <v>27.509999999999998</v>
      </c>
      <c r="E61" s="177">
        <f t="shared" si="0"/>
        <v>0</v>
      </c>
      <c r="F61" s="177">
        <f t="shared" si="7"/>
        <v>0</v>
      </c>
      <c r="G61" s="58"/>
      <c r="H61" s="177"/>
      <c r="I61" s="59">
        <v>7.0000000000000007E-2</v>
      </c>
      <c r="J61" s="59"/>
      <c r="K61" s="177">
        <f t="shared" si="1"/>
        <v>0</v>
      </c>
      <c r="L61" s="178">
        <v>0.20499999999999999</v>
      </c>
      <c r="M61" s="177"/>
      <c r="N61" s="177"/>
      <c r="O61" s="177">
        <f t="shared" si="2"/>
        <v>0</v>
      </c>
      <c r="P61" s="177">
        <f t="shared" si="3"/>
        <v>0</v>
      </c>
      <c r="Q61" s="185">
        <v>0.14299999999999999</v>
      </c>
      <c r="R61" s="180">
        <f t="shared" si="4"/>
        <v>0</v>
      </c>
      <c r="S61" s="180">
        <f t="shared" si="5"/>
        <v>0</v>
      </c>
      <c r="T61" s="181">
        <f t="shared" si="6"/>
        <v>0</v>
      </c>
      <c r="U61" s="190">
        <v>12</v>
      </c>
      <c r="V61" s="182"/>
      <c r="W61" s="182"/>
      <c r="X61" s="182"/>
      <c r="Y61" s="182"/>
      <c r="Z61" s="183">
        <v>98.174999999999997</v>
      </c>
      <c r="AA61" s="183">
        <v>156.5025</v>
      </c>
      <c r="AB61" s="176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21.95" customHeight="1">
      <c r="A62" s="11">
        <v>8256</v>
      </c>
      <c r="B62" s="25" t="s">
        <v>169</v>
      </c>
      <c r="C62" s="51"/>
      <c r="D62" s="144">
        <v>19.16</v>
      </c>
      <c r="E62" s="177">
        <f t="shared" si="0"/>
        <v>0</v>
      </c>
      <c r="F62" s="177">
        <f>E62+R62</f>
        <v>0</v>
      </c>
      <c r="G62" s="58"/>
      <c r="H62" s="177"/>
      <c r="I62" s="59">
        <v>7.0000000000000007E-2</v>
      </c>
      <c r="J62" s="59"/>
      <c r="K62" s="177">
        <f>N62*J62</f>
        <v>0</v>
      </c>
      <c r="L62" s="178">
        <v>0.20499999999999999</v>
      </c>
      <c r="M62" s="177"/>
      <c r="N62" s="177"/>
      <c r="O62" s="177">
        <f>(N62*L62-M62)+K62</f>
        <v>0</v>
      </c>
      <c r="P62" s="177">
        <f>E62+O62</f>
        <v>0</v>
      </c>
      <c r="Q62" s="185">
        <v>0.14299999999999999</v>
      </c>
      <c r="R62" s="180">
        <f t="shared" si="4"/>
        <v>0</v>
      </c>
      <c r="S62" s="180">
        <f>E62+R62+O62</f>
        <v>0</v>
      </c>
      <c r="T62" s="181">
        <f t="shared" si="6"/>
        <v>0</v>
      </c>
      <c r="U62" s="190">
        <v>24</v>
      </c>
      <c r="V62" s="182"/>
      <c r="W62" s="182"/>
      <c r="X62" s="182"/>
      <c r="Y62" s="182"/>
      <c r="Z62" s="183">
        <v>63.524999999999999</v>
      </c>
      <c r="AA62" s="191">
        <v>103.95</v>
      </c>
      <c r="AB62" s="176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21.95" customHeight="1">
      <c r="A63" s="11">
        <v>8257</v>
      </c>
      <c r="B63" s="26" t="s">
        <v>306</v>
      </c>
      <c r="C63" s="51"/>
      <c r="D63" s="145">
        <v>331.49</v>
      </c>
      <c r="E63" s="177">
        <f t="shared" si="0"/>
        <v>0</v>
      </c>
      <c r="F63" s="177">
        <f t="shared" si="7"/>
        <v>0</v>
      </c>
      <c r="G63" s="58"/>
      <c r="H63" s="177"/>
      <c r="I63" s="59">
        <v>7.0000000000000007E-2</v>
      </c>
      <c r="J63" s="59"/>
      <c r="K63" s="177">
        <f t="shared" si="1"/>
        <v>0</v>
      </c>
      <c r="L63" s="178">
        <v>0.20499999999999999</v>
      </c>
      <c r="M63" s="177"/>
      <c r="N63" s="177"/>
      <c r="O63" s="177">
        <f t="shared" si="2"/>
        <v>0</v>
      </c>
      <c r="P63" s="177">
        <f t="shared" si="3"/>
        <v>0</v>
      </c>
      <c r="Q63" s="185">
        <v>0.14299999999999999</v>
      </c>
      <c r="R63" s="180">
        <f t="shared" si="4"/>
        <v>0</v>
      </c>
      <c r="S63" s="180">
        <f t="shared" si="5"/>
        <v>0</v>
      </c>
      <c r="T63" s="181">
        <f>C63/1</f>
        <v>0</v>
      </c>
      <c r="U63" s="190">
        <v>100</v>
      </c>
      <c r="V63" s="182"/>
      <c r="W63" s="182"/>
      <c r="X63" s="182"/>
      <c r="Y63" s="182"/>
      <c r="Z63" s="183">
        <v>7.875</v>
      </c>
      <c r="AA63" s="191">
        <v>10.395</v>
      </c>
      <c r="AB63" s="176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21.95" customHeight="1">
      <c r="A64" s="93">
        <v>8462</v>
      </c>
      <c r="B64" s="25" t="s">
        <v>303</v>
      </c>
      <c r="C64" s="51"/>
      <c r="D64" s="240">
        <v>26.35</v>
      </c>
      <c r="E64" s="177">
        <f t="shared" si="0"/>
        <v>0</v>
      </c>
      <c r="F64" s="177">
        <f t="shared" si="7"/>
        <v>0</v>
      </c>
      <c r="G64" s="58"/>
      <c r="H64" s="177"/>
      <c r="I64" s="59"/>
      <c r="J64" s="59"/>
      <c r="K64" s="177"/>
      <c r="L64" s="178"/>
      <c r="M64" s="177"/>
      <c r="N64" s="177"/>
      <c r="O64" s="177"/>
      <c r="P64" s="177"/>
      <c r="Q64" s="185">
        <v>0.14299999999999999</v>
      </c>
      <c r="R64" s="180">
        <f t="shared" si="4"/>
        <v>0</v>
      </c>
      <c r="S64" s="180">
        <f t="shared" si="5"/>
        <v>0</v>
      </c>
      <c r="T64" s="181">
        <f>C64/U64</f>
        <v>0</v>
      </c>
      <c r="U64" s="190">
        <v>24</v>
      </c>
      <c r="V64" s="182"/>
      <c r="W64" s="182"/>
      <c r="X64" s="182"/>
      <c r="Y64" s="182"/>
      <c r="Z64" s="183">
        <v>89</v>
      </c>
      <c r="AA64" s="191">
        <v>139.4</v>
      </c>
      <c r="AB64" s="176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21.95" customHeight="1">
      <c r="A65" s="11">
        <v>8323</v>
      </c>
      <c r="B65" s="103" t="s">
        <v>170</v>
      </c>
      <c r="C65" s="51"/>
      <c r="D65" s="146">
        <v>46.07</v>
      </c>
      <c r="E65" s="177">
        <f t="shared" si="0"/>
        <v>0</v>
      </c>
      <c r="F65" s="177">
        <f t="shared" si="7"/>
        <v>0</v>
      </c>
      <c r="G65" s="58"/>
      <c r="H65" s="177"/>
      <c r="I65" s="59">
        <v>7.0000000000000007E-2</v>
      </c>
      <c r="J65" s="59"/>
      <c r="K65" s="177">
        <f t="shared" si="1"/>
        <v>0</v>
      </c>
      <c r="L65" s="178">
        <v>0.20499999999999999</v>
      </c>
      <c r="M65" s="177"/>
      <c r="N65" s="177"/>
      <c r="O65" s="177">
        <f t="shared" si="2"/>
        <v>0</v>
      </c>
      <c r="P65" s="177">
        <f t="shared" si="3"/>
        <v>0</v>
      </c>
      <c r="Q65" s="185">
        <v>0.14299999999999999</v>
      </c>
      <c r="R65" s="180">
        <f t="shared" si="4"/>
        <v>0</v>
      </c>
      <c r="S65" s="180">
        <f t="shared" si="5"/>
        <v>0</v>
      </c>
      <c r="T65" s="181">
        <f t="shared" si="6"/>
        <v>0</v>
      </c>
      <c r="U65" s="192">
        <v>24</v>
      </c>
      <c r="V65" s="182"/>
      <c r="W65" s="182"/>
      <c r="X65" s="182"/>
      <c r="Y65" s="182"/>
      <c r="Z65" s="183">
        <v>126</v>
      </c>
      <c r="AA65" s="183">
        <v>210</v>
      </c>
      <c r="AB65" s="176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21.95" customHeight="1">
      <c r="A66" s="11">
        <v>8051</v>
      </c>
      <c r="B66" s="103" t="s">
        <v>308</v>
      </c>
      <c r="C66" s="51"/>
      <c r="D66" s="146">
        <v>18.07</v>
      </c>
      <c r="E66" s="177">
        <f t="shared" ref="E66" si="25">D66*C66</f>
        <v>0</v>
      </c>
      <c r="F66" s="177">
        <f t="shared" ref="F66" si="26">E66+R66</f>
        <v>0</v>
      </c>
      <c r="G66" s="58"/>
      <c r="H66" s="177"/>
      <c r="I66" s="59">
        <v>7.0000000000000007E-2</v>
      </c>
      <c r="J66" s="59"/>
      <c r="K66" s="177">
        <f t="shared" ref="K66" si="27">N66*J66</f>
        <v>0</v>
      </c>
      <c r="L66" s="178">
        <v>0.20499999999999999</v>
      </c>
      <c r="M66" s="177"/>
      <c r="N66" s="177"/>
      <c r="O66" s="177">
        <f t="shared" ref="O66" si="28">(N66*L66-M66)+K66</f>
        <v>0</v>
      </c>
      <c r="P66" s="177">
        <f t="shared" ref="P66" si="29">E66+O66</f>
        <v>0</v>
      </c>
      <c r="Q66" s="185">
        <v>0.14299999999999999</v>
      </c>
      <c r="R66" s="180">
        <f t="shared" ref="R66" si="30">E66*Q66</f>
        <v>0</v>
      </c>
      <c r="S66" s="180">
        <f t="shared" ref="S66" si="31">E66+R66+O66</f>
        <v>0</v>
      </c>
      <c r="T66" s="181">
        <f t="shared" ref="T66" si="32">C66/U66</f>
        <v>0</v>
      </c>
      <c r="U66" s="192">
        <v>24</v>
      </c>
      <c r="V66" s="182"/>
      <c r="W66" s="182"/>
      <c r="X66" s="182"/>
      <c r="Y66" s="182"/>
      <c r="Z66" s="183">
        <v>50</v>
      </c>
      <c r="AA66" s="183">
        <v>82.5</v>
      </c>
      <c r="AB66" s="176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21.95" customHeight="1">
      <c r="A67" s="11">
        <v>8293</v>
      </c>
      <c r="B67" s="27" t="s">
        <v>171</v>
      </c>
      <c r="C67" s="51"/>
      <c r="D67" s="147">
        <v>28.67</v>
      </c>
      <c r="E67" s="177">
        <f t="shared" si="0"/>
        <v>0</v>
      </c>
      <c r="F67" s="177">
        <f t="shared" si="7"/>
        <v>0</v>
      </c>
      <c r="G67" s="58"/>
      <c r="H67" s="177"/>
      <c r="I67" s="59">
        <v>7.0000000000000007E-2</v>
      </c>
      <c r="J67" s="59"/>
      <c r="K67" s="177">
        <f t="shared" si="1"/>
        <v>0</v>
      </c>
      <c r="L67" s="178">
        <v>0.20499999999999999</v>
      </c>
      <c r="M67" s="177"/>
      <c r="N67" s="177"/>
      <c r="O67" s="177">
        <f t="shared" si="2"/>
        <v>0</v>
      </c>
      <c r="P67" s="177">
        <f t="shared" si="3"/>
        <v>0</v>
      </c>
      <c r="Q67" s="185">
        <v>0.14299999999999999</v>
      </c>
      <c r="R67" s="180">
        <f t="shared" si="4"/>
        <v>0</v>
      </c>
      <c r="S67" s="180">
        <f t="shared" si="5"/>
        <v>0</v>
      </c>
      <c r="T67" s="181">
        <f t="shared" si="6"/>
        <v>0</v>
      </c>
      <c r="U67" s="193">
        <v>24</v>
      </c>
      <c r="V67" s="182"/>
      <c r="W67" s="182"/>
      <c r="X67" s="182"/>
      <c r="Y67" s="182"/>
      <c r="Z67" s="183">
        <v>84</v>
      </c>
      <c r="AA67" s="183">
        <v>134.4</v>
      </c>
      <c r="AB67" s="176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21.95" customHeight="1">
      <c r="A68" s="93">
        <v>8292</v>
      </c>
      <c r="B68" s="244" t="s">
        <v>307</v>
      </c>
      <c r="C68" s="99"/>
      <c r="D68" s="245">
        <v>196</v>
      </c>
      <c r="E68" s="177">
        <f t="shared" ref="E68" si="33">D68*C68</f>
        <v>0</v>
      </c>
      <c r="F68" s="177">
        <f t="shared" ref="F68" si="34">E68+R68</f>
        <v>0</v>
      </c>
      <c r="G68" s="58"/>
      <c r="H68" s="177"/>
      <c r="I68" s="59">
        <v>7.0000000000000007E-2</v>
      </c>
      <c r="J68" s="59"/>
      <c r="K68" s="177">
        <f t="shared" ref="K68" si="35">N68*J68</f>
        <v>0</v>
      </c>
      <c r="L68" s="178">
        <v>0.20499999999999999</v>
      </c>
      <c r="M68" s="177"/>
      <c r="N68" s="177"/>
      <c r="O68" s="177">
        <f t="shared" ref="O68" si="36">(N68*L68-M68)+K68</f>
        <v>0</v>
      </c>
      <c r="P68" s="177">
        <f t="shared" ref="P68" si="37">E68+O68</f>
        <v>0</v>
      </c>
      <c r="Q68" s="185">
        <v>0.14299999999999999</v>
      </c>
      <c r="R68" s="180">
        <f t="shared" ref="R68" si="38">E68*Q68</f>
        <v>0</v>
      </c>
      <c r="S68" s="180">
        <f t="shared" ref="S68" si="39">E68+R68+O68</f>
        <v>0</v>
      </c>
      <c r="T68" s="181">
        <f>C68/1</f>
        <v>0</v>
      </c>
      <c r="U68" s="193">
        <v>70</v>
      </c>
      <c r="V68" s="182"/>
      <c r="W68" s="182"/>
      <c r="X68" s="182"/>
      <c r="Y68" s="182"/>
      <c r="Z68" s="183"/>
      <c r="AA68" s="183"/>
      <c r="AB68" s="176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21.95" customHeight="1">
      <c r="A69" s="11">
        <v>8294</v>
      </c>
      <c r="B69" s="28" t="s">
        <v>172</v>
      </c>
      <c r="C69" s="51"/>
      <c r="D69" s="148">
        <v>18.68</v>
      </c>
      <c r="E69" s="177">
        <f t="shared" si="0"/>
        <v>0</v>
      </c>
      <c r="F69" s="177">
        <f t="shared" si="7"/>
        <v>0</v>
      </c>
      <c r="G69" s="58"/>
      <c r="H69" s="177"/>
      <c r="I69" s="59">
        <v>7.0000000000000007E-2</v>
      </c>
      <c r="J69" s="59"/>
      <c r="K69" s="177">
        <f t="shared" si="1"/>
        <v>0</v>
      </c>
      <c r="L69" s="178">
        <v>0.20499999999999999</v>
      </c>
      <c r="M69" s="177"/>
      <c r="N69" s="177"/>
      <c r="O69" s="177">
        <f t="shared" si="2"/>
        <v>0</v>
      </c>
      <c r="P69" s="177">
        <f t="shared" si="3"/>
        <v>0</v>
      </c>
      <c r="Q69" s="185">
        <v>0.14299999999999999</v>
      </c>
      <c r="R69" s="180">
        <f t="shared" si="4"/>
        <v>0</v>
      </c>
      <c r="S69" s="180">
        <f t="shared" si="5"/>
        <v>0</v>
      </c>
      <c r="T69" s="181">
        <f t="shared" si="6"/>
        <v>0</v>
      </c>
      <c r="U69" s="194">
        <v>48</v>
      </c>
      <c r="V69" s="182"/>
      <c r="W69" s="182"/>
      <c r="X69" s="182"/>
      <c r="Y69" s="182"/>
      <c r="Z69" s="183">
        <v>56.7</v>
      </c>
      <c r="AA69" s="183">
        <v>90.825000000000003</v>
      </c>
      <c r="AB69" s="176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21.95" customHeight="1">
      <c r="A70" s="11">
        <v>8453</v>
      </c>
      <c r="B70" s="13" t="s">
        <v>173</v>
      </c>
      <c r="C70" s="51"/>
      <c r="D70" s="149">
        <v>45.63</v>
      </c>
      <c r="E70" s="177">
        <f t="shared" si="0"/>
        <v>0</v>
      </c>
      <c r="F70" s="177">
        <f t="shared" si="7"/>
        <v>0</v>
      </c>
      <c r="G70" s="58"/>
      <c r="H70" s="177"/>
      <c r="I70" s="59">
        <v>7.0000000000000007E-2</v>
      </c>
      <c r="J70" s="59"/>
      <c r="K70" s="177">
        <f t="shared" si="1"/>
        <v>0</v>
      </c>
      <c r="L70" s="178">
        <v>0.20499999999999999</v>
      </c>
      <c r="M70" s="177"/>
      <c r="N70" s="177"/>
      <c r="O70" s="177">
        <f t="shared" si="2"/>
        <v>0</v>
      </c>
      <c r="P70" s="177">
        <f t="shared" si="3"/>
        <v>0</v>
      </c>
      <c r="Q70" s="185">
        <v>0.14299999999999999</v>
      </c>
      <c r="R70" s="180">
        <f t="shared" si="4"/>
        <v>0</v>
      </c>
      <c r="S70" s="180">
        <f t="shared" si="5"/>
        <v>0</v>
      </c>
      <c r="T70" s="181">
        <f t="shared" si="6"/>
        <v>0</v>
      </c>
      <c r="U70" s="195">
        <v>12</v>
      </c>
      <c r="V70" s="182"/>
      <c r="W70" s="182"/>
      <c r="X70" s="182"/>
      <c r="Y70" s="182"/>
      <c r="Z70" s="183">
        <v>144.375</v>
      </c>
      <c r="AA70" s="183">
        <v>231</v>
      </c>
      <c r="AB70" s="176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21.95" customHeight="1">
      <c r="A71" s="11">
        <v>8328</v>
      </c>
      <c r="B71" s="29" t="s">
        <v>218</v>
      </c>
      <c r="C71" s="51"/>
      <c r="D71" s="150">
        <v>31.88</v>
      </c>
      <c r="E71" s="177">
        <f t="shared" si="0"/>
        <v>0</v>
      </c>
      <c r="F71" s="177">
        <f t="shared" si="7"/>
        <v>0</v>
      </c>
      <c r="G71" s="58"/>
      <c r="H71" s="177"/>
      <c r="I71" s="59">
        <v>7.0000000000000007E-2</v>
      </c>
      <c r="J71" s="59"/>
      <c r="K71" s="177">
        <f t="shared" si="1"/>
        <v>0</v>
      </c>
      <c r="L71" s="178">
        <v>0.20499999999999999</v>
      </c>
      <c r="M71" s="177"/>
      <c r="N71" s="177"/>
      <c r="O71" s="177">
        <f t="shared" si="2"/>
        <v>0</v>
      </c>
      <c r="P71" s="177">
        <f t="shared" si="3"/>
        <v>0</v>
      </c>
      <c r="Q71" s="179">
        <v>4.5499999999999999E-2</v>
      </c>
      <c r="R71" s="180">
        <f t="shared" si="4"/>
        <v>0</v>
      </c>
      <c r="S71" s="180">
        <f t="shared" si="5"/>
        <v>0</v>
      </c>
      <c r="T71" s="181">
        <f t="shared" si="6"/>
        <v>0</v>
      </c>
      <c r="U71" s="196">
        <v>24</v>
      </c>
      <c r="V71" s="182"/>
      <c r="W71" s="182"/>
      <c r="X71" s="182"/>
      <c r="Y71" s="182"/>
      <c r="Z71" s="183">
        <v>92.4</v>
      </c>
      <c r="AA71" s="183">
        <v>150.15</v>
      </c>
      <c r="AB71" s="176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21.95" customHeight="1">
      <c r="A72" s="11">
        <v>8329</v>
      </c>
      <c r="B72" s="29" t="s">
        <v>219</v>
      </c>
      <c r="C72" s="51"/>
      <c r="D72" s="150">
        <v>31.88</v>
      </c>
      <c r="E72" s="177">
        <f t="shared" si="0"/>
        <v>0</v>
      </c>
      <c r="F72" s="177">
        <f t="shared" si="7"/>
        <v>0</v>
      </c>
      <c r="G72" s="58"/>
      <c r="H72" s="177"/>
      <c r="I72" s="59">
        <v>7.0000000000000007E-2</v>
      </c>
      <c r="J72" s="59"/>
      <c r="K72" s="177">
        <f t="shared" si="1"/>
        <v>0</v>
      </c>
      <c r="L72" s="178">
        <v>0.20499999999999999</v>
      </c>
      <c r="M72" s="177"/>
      <c r="N72" s="177"/>
      <c r="O72" s="177">
        <f t="shared" si="2"/>
        <v>0</v>
      </c>
      <c r="P72" s="177">
        <f t="shared" si="3"/>
        <v>0</v>
      </c>
      <c r="Q72" s="179">
        <v>4.5499999999999999E-2</v>
      </c>
      <c r="R72" s="180">
        <f t="shared" si="4"/>
        <v>0</v>
      </c>
      <c r="S72" s="180">
        <f t="shared" si="5"/>
        <v>0</v>
      </c>
      <c r="T72" s="181">
        <f t="shared" si="6"/>
        <v>0</v>
      </c>
      <c r="U72" s="196">
        <v>24</v>
      </c>
      <c r="V72" s="182"/>
      <c r="W72" s="182"/>
      <c r="X72" s="182"/>
      <c r="Y72" s="182"/>
      <c r="Z72" s="183">
        <v>92.4</v>
      </c>
      <c r="AA72" s="183">
        <v>150.15</v>
      </c>
      <c r="AB72" s="176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21.95" customHeight="1">
      <c r="A73" s="11">
        <v>8332</v>
      </c>
      <c r="B73" s="29" t="s">
        <v>220</v>
      </c>
      <c r="C73" s="51"/>
      <c r="D73" s="150">
        <v>46.27</v>
      </c>
      <c r="E73" s="177">
        <f t="shared" si="0"/>
        <v>0</v>
      </c>
      <c r="F73" s="177">
        <f t="shared" si="7"/>
        <v>0</v>
      </c>
      <c r="G73" s="58"/>
      <c r="H73" s="177"/>
      <c r="I73" s="59">
        <v>7.0000000000000007E-2</v>
      </c>
      <c r="J73" s="59"/>
      <c r="K73" s="177">
        <f t="shared" si="1"/>
        <v>0</v>
      </c>
      <c r="L73" s="178">
        <v>0.20499999999999999</v>
      </c>
      <c r="M73" s="177"/>
      <c r="N73" s="177"/>
      <c r="O73" s="177">
        <f t="shared" si="2"/>
        <v>0</v>
      </c>
      <c r="P73" s="177">
        <f t="shared" si="3"/>
        <v>0</v>
      </c>
      <c r="Q73" s="185">
        <v>0.14299999999999999</v>
      </c>
      <c r="R73" s="180">
        <f t="shared" si="4"/>
        <v>0</v>
      </c>
      <c r="S73" s="180">
        <f t="shared" si="5"/>
        <v>0</v>
      </c>
      <c r="T73" s="181">
        <f t="shared" si="6"/>
        <v>0</v>
      </c>
      <c r="U73" s="196">
        <v>24</v>
      </c>
      <c r="V73" s="182"/>
      <c r="W73" s="182"/>
      <c r="X73" s="182"/>
      <c r="Y73" s="182"/>
      <c r="Z73" s="183">
        <v>136.29000000000002</v>
      </c>
      <c r="AA73" s="183">
        <v>219.45</v>
      </c>
      <c r="AB73" s="176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21.95" customHeight="1">
      <c r="A74" s="11">
        <v>8331</v>
      </c>
      <c r="B74" s="29" t="s">
        <v>221</v>
      </c>
      <c r="C74" s="51"/>
      <c r="D74" s="150">
        <v>79.97</v>
      </c>
      <c r="E74" s="177">
        <f t="shared" si="0"/>
        <v>0</v>
      </c>
      <c r="F74" s="177">
        <f t="shared" si="7"/>
        <v>0</v>
      </c>
      <c r="G74" s="58"/>
      <c r="H74" s="177"/>
      <c r="I74" s="59">
        <v>7.0000000000000007E-2</v>
      </c>
      <c r="J74" s="59"/>
      <c r="K74" s="177">
        <f t="shared" si="1"/>
        <v>0</v>
      </c>
      <c r="L74" s="178">
        <v>0.20499999999999999</v>
      </c>
      <c r="M74" s="177"/>
      <c r="N74" s="177"/>
      <c r="O74" s="177">
        <f t="shared" si="2"/>
        <v>0</v>
      </c>
      <c r="P74" s="177">
        <f t="shared" si="3"/>
        <v>0</v>
      </c>
      <c r="Q74" s="197">
        <v>0</v>
      </c>
      <c r="R74" s="180">
        <f t="shared" si="4"/>
        <v>0</v>
      </c>
      <c r="S74" s="180">
        <f t="shared" si="5"/>
        <v>0</v>
      </c>
      <c r="T74" s="181">
        <f t="shared" si="6"/>
        <v>0</v>
      </c>
      <c r="U74" s="196">
        <v>12</v>
      </c>
      <c r="V74" s="182"/>
      <c r="W74" s="182"/>
      <c r="X74" s="182"/>
      <c r="Y74" s="182"/>
      <c r="Z74" s="183">
        <v>279.77249999999998</v>
      </c>
      <c r="AA74" s="183">
        <v>363.82499999999999</v>
      </c>
      <c r="AB74" s="176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21.95" customHeight="1">
      <c r="A75" s="11">
        <v>8460</v>
      </c>
      <c r="B75" s="14" t="s">
        <v>174</v>
      </c>
      <c r="C75" s="51"/>
      <c r="D75" s="152">
        <v>38.630000000000003</v>
      </c>
      <c r="E75" s="177">
        <f>D75*C75</f>
        <v>0</v>
      </c>
      <c r="F75" s="177">
        <f>E75+R75</f>
        <v>0</v>
      </c>
      <c r="G75" s="58"/>
      <c r="H75" s="177"/>
      <c r="I75" s="59">
        <v>7.0000000000000007E-2</v>
      </c>
      <c r="J75" s="59"/>
      <c r="K75" s="177">
        <f>N75*J75</f>
        <v>0</v>
      </c>
      <c r="L75" s="178">
        <v>0.20499999999999999</v>
      </c>
      <c r="M75" s="177"/>
      <c r="N75" s="177"/>
      <c r="O75" s="177">
        <f>(N75*L75-M75)+K75</f>
        <v>0</v>
      </c>
      <c r="P75" s="177">
        <f>E75+O75</f>
        <v>0</v>
      </c>
      <c r="Q75" s="185">
        <v>0.14299999999999999</v>
      </c>
      <c r="R75" s="180">
        <f>E75*Q75</f>
        <v>0</v>
      </c>
      <c r="S75" s="180">
        <f>E75+R75+O75</f>
        <v>0</v>
      </c>
      <c r="T75" s="181">
        <f>C75/U75</f>
        <v>0</v>
      </c>
      <c r="U75" s="198">
        <v>24</v>
      </c>
      <c r="V75" s="182"/>
      <c r="W75" s="182"/>
      <c r="X75" s="182"/>
      <c r="Y75" s="182"/>
      <c r="Z75" s="183">
        <v>103.9395</v>
      </c>
      <c r="AA75" s="183">
        <v>166.32</v>
      </c>
      <c r="AB75" s="176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21.95" customHeight="1">
      <c r="A76" s="93">
        <v>8461</v>
      </c>
      <c r="B76" s="95" t="s">
        <v>310</v>
      </c>
      <c r="C76" s="96"/>
      <c r="D76" s="151">
        <v>510</v>
      </c>
      <c r="E76" s="177">
        <f t="shared" si="0"/>
        <v>0</v>
      </c>
      <c r="F76" s="177">
        <f t="shared" si="7"/>
        <v>0</v>
      </c>
      <c r="G76" s="58"/>
      <c r="H76" s="177"/>
      <c r="I76" s="59">
        <v>7.0000000000000007E-2</v>
      </c>
      <c r="J76" s="59"/>
      <c r="K76" s="177">
        <f t="shared" si="1"/>
        <v>0</v>
      </c>
      <c r="L76" s="178">
        <v>0.20499999999999999</v>
      </c>
      <c r="M76" s="177"/>
      <c r="N76" s="177"/>
      <c r="O76" s="177">
        <f t="shared" si="2"/>
        <v>0</v>
      </c>
      <c r="P76" s="177">
        <f t="shared" si="3"/>
        <v>0</v>
      </c>
      <c r="Q76" s="185">
        <v>0.14299999999999999</v>
      </c>
      <c r="R76" s="180">
        <f t="shared" si="4"/>
        <v>0</v>
      </c>
      <c r="S76" s="180">
        <f t="shared" si="5"/>
        <v>0</v>
      </c>
      <c r="T76" s="181">
        <f t="shared" ref="T76" si="40">C76/1</f>
        <v>0</v>
      </c>
      <c r="U76" s="198">
        <v>60</v>
      </c>
      <c r="V76" s="182"/>
      <c r="W76" s="182"/>
      <c r="X76" s="182"/>
      <c r="Y76" s="182"/>
      <c r="Z76" s="183">
        <v>40</v>
      </c>
      <c r="AA76" s="183">
        <v>65</v>
      </c>
      <c r="AB76" s="176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21.95" customHeight="1">
      <c r="A77" s="11">
        <v>8309</v>
      </c>
      <c r="B77" s="30" t="s">
        <v>175</v>
      </c>
      <c r="C77" s="51"/>
      <c r="D77" s="153">
        <v>56.87</v>
      </c>
      <c r="E77" s="177">
        <f t="shared" si="0"/>
        <v>0</v>
      </c>
      <c r="F77" s="177">
        <f t="shared" si="7"/>
        <v>0</v>
      </c>
      <c r="G77" s="58"/>
      <c r="H77" s="177"/>
      <c r="I77" s="59">
        <v>7.0000000000000007E-2</v>
      </c>
      <c r="J77" s="59"/>
      <c r="K77" s="177">
        <f t="shared" si="1"/>
        <v>0</v>
      </c>
      <c r="L77" s="178">
        <v>0.20499999999999999</v>
      </c>
      <c r="M77" s="177"/>
      <c r="N77" s="177"/>
      <c r="O77" s="177">
        <f t="shared" si="2"/>
        <v>0</v>
      </c>
      <c r="P77" s="177">
        <f t="shared" si="3"/>
        <v>0</v>
      </c>
      <c r="Q77" s="185">
        <v>0.14299999999999999</v>
      </c>
      <c r="R77" s="180">
        <f t="shared" si="4"/>
        <v>0</v>
      </c>
      <c r="S77" s="180">
        <f t="shared" si="5"/>
        <v>0</v>
      </c>
      <c r="T77" s="181">
        <f t="shared" si="6"/>
        <v>0</v>
      </c>
      <c r="U77" s="199">
        <v>12</v>
      </c>
      <c r="V77" s="182"/>
      <c r="W77" s="182"/>
      <c r="X77" s="182"/>
      <c r="Y77" s="182"/>
      <c r="Z77" s="183">
        <v>213.67500000000001</v>
      </c>
      <c r="AA77" s="184" t="s">
        <v>217</v>
      </c>
      <c r="AB77" s="176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21.95" customHeight="1">
      <c r="A78" s="11">
        <v>8316</v>
      </c>
      <c r="B78" s="30" t="s">
        <v>176</v>
      </c>
      <c r="C78" s="51"/>
      <c r="D78" s="153">
        <v>56.87</v>
      </c>
      <c r="E78" s="177">
        <f t="shared" si="0"/>
        <v>0</v>
      </c>
      <c r="F78" s="177">
        <f t="shared" si="7"/>
        <v>0</v>
      </c>
      <c r="G78" s="58"/>
      <c r="H78" s="177"/>
      <c r="I78" s="59">
        <v>7.0000000000000007E-2</v>
      </c>
      <c r="J78" s="59"/>
      <c r="K78" s="177">
        <f t="shared" si="1"/>
        <v>0</v>
      </c>
      <c r="L78" s="178">
        <v>0.20499999999999999</v>
      </c>
      <c r="M78" s="177"/>
      <c r="N78" s="177"/>
      <c r="O78" s="177">
        <f t="shared" si="2"/>
        <v>0</v>
      </c>
      <c r="P78" s="177">
        <f t="shared" si="3"/>
        <v>0</v>
      </c>
      <c r="Q78" s="185">
        <v>0.14299999999999999</v>
      </c>
      <c r="R78" s="180">
        <f t="shared" si="4"/>
        <v>0</v>
      </c>
      <c r="S78" s="180">
        <f t="shared" si="5"/>
        <v>0</v>
      </c>
      <c r="T78" s="181">
        <f t="shared" si="6"/>
        <v>0</v>
      </c>
      <c r="U78" s="199">
        <v>12</v>
      </c>
      <c r="V78" s="182"/>
      <c r="W78" s="182"/>
      <c r="X78" s="182"/>
      <c r="Y78" s="182"/>
      <c r="Z78" s="183">
        <v>213.67500000000001</v>
      </c>
      <c r="AA78" s="184" t="s">
        <v>217</v>
      </c>
      <c r="AB78" s="176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21.95" customHeight="1">
      <c r="A79" s="11">
        <v>8361</v>
      </c>
      <c r="B79" s="31" t="s">
        <v>177</v>
      </c>
      <c r="C79" s="51"/>
      <c r="D79" s="154">
        <v>23.21</v>
      </c>
      <c r="E79" s="177">
        <f t="shared" si="0"/>
        <v>0</v>
      </c>
      <c r="F79" s="177">
        <f t="shared" si="7"/>
        <v>0</v>
      </c>
      <c r="G79" s="58"/>
      <c r="H79" s="177"/>
      <c r="I79" s="59">
        <v>7.0000000000000007E-2</v>
      </c>
      <c r="J79" s="59"/>
      <c r="K79" s="177">
        <f t="shared" si="1"/>
        <v>0</v>
      </c>
      <c r="L79" s="178">
        <v>0.20499999999999999</v>
      </c>
      <c r="M79" s="177"/>
      <c r="N79" s="177"/>
      <c r="O79" s="177">
        <f t="shared" si="2"/>
        <v>0</v>
      </c>
      <c r="P79" s="177">
        <f t="shared" si="3"/>
        <v>0</v>
      </c>
      <c r="Q79" s="200">
        <v>0</v>
      </c>
      <c r="R79" s="180">
        <f t="shared" si="4"/>
        <v>0</v>
      </c>
      <c r="S79" s="180">
        <f t="shared" si="5"/>
        <v>0</v>
      </c>
      <c r="T79" s="181">
        <f t="shared" si="6"/>
        <v>0</v>
      </c>
      <c r="U79" s="201">
        <v>12</v>
      </c>
      <c r="V79" s="182"/>
      <c r="W79" s="182"/>
      <c r="X79" s="182"/>
      <c r="Y79" s="182"/>
      <c r="Z79" s="183">
        <v>56.594999999999999</v>
      </c>
      <c r="AA79" s="184" t="s">
        <v>217</v>
      </c>
      <c r="AB79" s="176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21.95" customHeight="1">
      <c r="A80" s="11">
        <v>8378</v>
      </c>
      <c r="B80" s="31" t="s">
        <v>178</v>
      </c>
      <c r="C80" s="51"/>
      <c r="D80" s="154">
        <v>23.21</v>
      </c>
      <c r="E80" s="177">
        <f t="shared" si="0"/>
        <v>0</v>
      </c>
      <c r="F80" s="177">
        <f t="shared" si="7"/>
        <v>0</v>
      </c>
      <c r="G80" s="58"/>
      <c r="H80" s="177"/>
      <c r="I80" s="59">
        <v>7.0000000000000007E-2</v>
      </c>
      <c r="J80" s="59"/>
      <c r="K80" s="177">
        <f t="shared" si="1"/>
        <v>0</v>
      </c>
      <c r="L80" s="178">
        <v>0.20499999999999999</v>
      </c>
      <c r="M80" s="177"/>
      <c r="N80" s="177"/>
      <c r="O80" s="177">
        <f t="shared" si="2"/>
        <v>0</v>
      </c>
      <c r="P80" s="177">
        <f t="shared" si="3"/>
        <v>0</v>
      </c>
      <c r="Q80" s="200">
        <v>0</v>
      </c>
      <c r="R80" s="180">
        <f t="shared" si="4"/>
        <v>0</v>
      </c>
      <c r="S80" s="180">
        <f t="shared" si="5"/>
        <v>0</v>
      </c>
      <c r="T80" s="181">
        <f t="shared" si="6"/>
        <v>0</v>
      </c>
      <c r="U80" s="201">
        <v>12</v>
      </c>
      <c r="V80" s="182"/>
      <c r="W80" s="182"/>
      <c r="X80" s="182"/>
      <c r="Y80" s="182"/>
      <c r="Z80" s="183">
        <v>56.594999999999999</v>
      </c>
      <c r="AA80" s="184" t="s">
        <v>217</v>
      </c>
      <c r="AB80" s="176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21.95" customHeight="1">
      <c r="A81" s="11">
        <v>8385</v>
      </c>
      <c r="B81" s="31" t="s">
        <v>179</v>
      </c>
      <c r="C81" s="51"/>
      <c r="D81" s="154">
        <v>23.21</v>
      </c>
      <c r="E81" s="177">
        <f t="shared" si="0"/>
        <v>0</v>
      </c>
      <c r="F81" s="177">
        <f t="shared" si="7"/>
        <v>0</v>
      </c>
      <c r="G81" s="58"/>
      <c r="H81" s="177"/>
      <c r="I81" s="59">
        <v>7.0000000000000007E-2</v>
      </c>
      <c r="J81" s="59"/>
      <c r="K81" s="177">
        <f t="shared" si="1"/>
        <v>0</v>
      </c>
      <c r="L81" s="178">
        <v>0.20499999999999999</v>
      </c>
      <c r="M81" s="177"/>
      <c r="N81" s="177"/>
      <c r="O81" s="177">
        <f t="shared" si="2"/>
        <v>0</v>
      </c>
      <c r="P81" s="177">
        <f t="shared" si="3"/>
        <v>0</v>
      </c>
      <c r="Q81" s="200">
        <v>0</v>
      </c>
      <c r="R81" s="180">
        <f t="shared" si="4"/>
        <v>0</v>
      </c>
      <c r="S81" s="180">
        <f t="shared" si="5"/>
        <v>0</v>
      </c>
      <c r="T81" s="181">
        <f t="shared" si="6"/>
        <v>0</v>
      </c>
      <c r="U81" s="201">
        <v>12</v>
      </c>
      <c r="V81" s="182"/>
      <c r="W81" s="182"/>
      <c r="X81" s="182"/>
      <c r="Y81" s="182"/>
      <c r="Z81" s="183">
        <v>56.594999999999999</v>
      </c>
      <c r="AA81" s="184" t="s">
        <v>217</v>
      </c>
      <c r="AB81" s="176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21.95" customHeight="1">
      <c r="A82" s="11">
        <v>8392</v>
      </c>
      <c r="B82" s="31" t="s">
        <v>180</v>
      </c>
      <c r="C82" s="51"/>
      <c r="D82" s="154">
        <v>23.21</v>
      </c>
      <c r="E82" s="177">
        <f t="shared" si="0"/>
        <v>0</v>
      </c>
      <c r="F82" s="177">
        <f t="shared" si="7"/>
        <v>0</v>
      </c>
      <c r="G82" s="58"/>
      <c r="H82" s="177"/>
      <c r="I82" s="59">
        <v>7.0000000000000007E-2</v>
      </c>
      <c r="J82" s="59"/>
      <c r="K82" s="177">
        <f t="shared" si="1"/>
        <v>0</v>
      </c>
      <c r="L82" s="178">
        <v>0.20499999999999999</v>
      </c>
      <c r="M82" s="177"/>
      <c r="N82" s="177"/>
      <c r="O82" s="177">
        <f t="shared" si="2"/>
        <v>0</v>
      </c>
      <c r="P82" s="177">
        <f t="shared" si="3"/>
        <v>0</v>
      </c>
      <c r="Q82" s="200">
        <v>0</v>
      </c>
      <c r="R82" s="180">
        <f t="shared" si="4"/>
        <v>0</v>
      </c>
      <c r="S82" s="180">
        <f t="shared" si="5"/>
        <v>0</v>
      </c>
      <c r="T82" s="181">
        <f t="shared" si="6"/>
        <v>0</v>
      </c>
      <c r="U82" s="201">
        <v>12</v>
      </c>
      <c r="V82" s="182"/>
      <c r="W82" s="182"/>
      <c r="X82" s="182"/>
      <c r="Y82" s="182"/>
      <c r="Z82" s="183">
        <v>56.594999999999999</v>
      </c>
      <c r="AA82" s="184" t="s">
        <v>217</v>
      </c>
      <c r="AB82" s="176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21.95" customHeight="1">
      <c r="A83" s="11">
        <v>8408</v>
      </c>
      <c r="B83" s="31" t="s">
        <v>181</v>
      </c>
      <c r="C83" s="51"/>
      <c r="D83" s="154">
        <v>23.21</v>
      </c>
      <c r="E83" s="177">
        <f t="shared" si="0"/>
        <v>0</v>
      </c>
      <c r="F83" s="177">
        <f t="shared" si="7"/>
        <v>0</v>
      </c>
      <c r="G83" s="58"/>
      <c r="H83" s="177"/>
      <c r="I83" s="59">
        <v>7.0000000000000007E-2</v>
      </c>
      <c r="J83" s="59"/>
      <c r="K83" s="177">
        <f t="shared" si="1"/>
        <v>0</v>
      </c>
      <c r="L83" s="178">
        <v>0.20499999999999999</v>
      </c>
      <c r="M83" s="177"/>
      <c r="N83" s="177"/>
      <c r="O83" s="177">
        <f t="shared" si="2"/>
        <v>0</v>
      </c>
      <c r="P83" s="177">
        <f t="shared" si="3"/>
        <v>0</v>
      </c>
      <c r="Q83" s="200">
        <v>0</v>
      </c>
      <c r="R83" s="180">
        <f t="shared" si="4"/>
        <v>0</v>
      </c>
      <c r="S83" s="180">
        <f t="shared" si="5"/>
        <v>0</v>
      </c>
      <c r="T83" s="181">
        <f t="shared" si="6"/>
        <v>0</v>
      </c>
      <c r="U83" s="201">
        <v>12</v>
      </c>
      <c r="V83" s="182"/>
      <c r="W83" s="182"/>
      <c r="X83" s="182"/>
      <c r="Y83" s="182"/>
      <c r="Z83" s="183">
        <v>56.594999999999999</v>
      </c>
      <c r="AA83" s="184" t="s">
        <v>217</v>
      </c>
      <c r="AB83" s="176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21.95" customHeight="1">
      <c r="A84" s="11">
        <v>8354</v>
      </c>
      <c r="B84" s="32" t="s">
        <v>182</v>
      </c>
      <c r="C84" s="51"/>
      <c r="D84" s="155">
        <v>47.97</v>
      </c>
      <c r="E84" s="177">
        <f t="shared" si="0"/>
        <v>0</v>
      </c>
      <c r="F84" s="177">
        <f t="shared" si="7"/>
        <v>0</v>
      </c>
      <c r="G84" s="58"/>
      <c r="H84" s="177"/>
      <c r="I84" s="59">
        <v>7.0000000000000007E-2</v>
      </c>
      <c r="J84" s="59"/>
      <c r="K84" s="177">
        <f t="shared" si="1"/>
        <v>0</v>
      </c>
      <c r="L84" s="178">
        <v>0.20499999999999999</v>
      </c>
      <c r="M84" s="177"/>
      <c r="N84" s="177"/>
      <c r="O84" s="177">
        <f t="shared" si="2"/>
        <v>0</v>
      </c>
      <c r="P84" s="177">
        <f t="shared" si="3"/>
        <v>0</v>
      </c>
      <c r="Q84" s="200">
        <v>0</v>
      </c>
      <c r="R84" s="180">
        <f t="shared" si="4"/>
        <v>0</v>
      </c>
      <c r="S84" s="180">
        <f t="shared" si="5"/>
        <v>0</v>
      </c>
      <c r="T84" s="181">
        <f t="shared" si="6"/>
        <v>0</v>
      </c>
      <c r="U84" s="202">
        <v>12</v>
      </c>
      <c r="V84" s="182"/>
      <c r="W84" s="182"/>
      <c r="X84" s="182"/>
      <c r="Y84" s="182"/>
      <c r="Z84" s="183">
        <v>145.53</v>
      </c>
      <c r="AA84" s="184" t="s">
        <v>217</v>
      </c>
      <c r="AB84" s="176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21.95" customHeight="1">
      <c r="A85" s="11">
        <v>8347</v>
      </c>
      <c r="B85" s="104" t="s">
        <v>183</v>
      </c>
      <c r="C85" s="51"/>
      <c r="D85" s="155">
        <v>47.97</v>
      </c>
      <c r="E85" s="177">
        <f t="shared" ref="E85:E93" si="41">D85*C85</f>
        <v>0</v>
      </c>
      <c r="F85" s="177">
        <f t="shared" si="7"/>
        <v>0</v>
      </c>
      <c r="G85" s="58"/>
      <c r="H85" s="177"/>
      <c r="I85" s="59">
        <v>7.0000000000000007E-2</v>
      </c>
      <c r="J85" s="59"/>
      <c r="K85" s="177">
        <f t="shared" si="1"/>
        <v>0</v>
      </c>
      <c r="L85" s="178">
        <v>0.20499999999999999</v>
      </c>
      <c r="M85" s="177"/>
      <c r="N85" s="177"/>
      <c r="O85" s="177">
        <f t="shared" si="2"/>
        <v>0</v>
      </c>
      <c r="P85" s="177">
        <f t="shared" si="3"/>
        <v>0</v>
      </c>
      <c r="Q85" s="200">
        <v>0</v>
      </c>
      <c r="R85" s="180">
        <f t="shared" ref="R85:R153" si="42">E85*Q85</f>
        <v>0</v>
      </c>
      <c r="S85" s="180">
        <f t="shared" si="5"/>
        <v>0</v>
      </c>
      <c r="T85" s="181">
        <f t="shared" ref="T85:T94" si="43">C85/U85</f>
        <v>0</v>
      </c>
      <c r="U85" s="202">
        <v>12</v>
      </c>
      <c r="V85" s="182"/>
      <c r="W85" s="182"/>
      <c r="X85" s="182"/>
      <c r="Y85" s="182"/>
      <c r="Z85" s="183">
        <v>142.065</v>
      </c>
      <c r="AA85" s="184" t="s">
        <v>217</v>
      </c>
      <c r="AB85" s="176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21.95" customHeight="1">
      <c r="A86" s="11">
        <v>8286</v>
      </c>
      <c r="B86" s="15" t="s">
        <v>184</v>
      </c>
      <c r="C86" s="51"/>
      <c r="D86" s="156">
        <v>62.322000000000003</v>
      </c>
      <c r="E86" s="177">
        <f t="shared" si="41"/>
        <v>0</v>
      </c>
      <c r="F86" s="177">
        <f t="shared" si="7"/>
        <v>0</v>
      </c>
      <c r="G86" s="58"/>
      <c r="H86" s="177"/>
      <c r="I86" s="59">
        <v>7.0000000000000007E-2</v>
      </c>
      <c r="J86" s="59"/>
      <c r="K86" s="177">
        <f t="shared" si="1"/>
        <v>0</v>
      </c>
      <c r="L86" s="178">
        <v>0.20499999999999999</v>
      </c>
      <c r="M86" s="177"/>
      <c r="N86" s="177"/>
      <c r="O86" s="177">
        <f t="shared" si="2"/>
        <v>0</v>
      </c>
      <c r="P86" s="177">
        <f t="shared" si="3"/>
        <v>0</v>
      </c>
      <c r="Q86" s="185">
        <v>0.14299999999999999</v>
      </c>
      <c r="R86" s="180">
        <f t="shared" si="42"/>
        <v>0</v>
      </c>
      <c r="S86" s="180">
        <f t="shared" si="5"/>
        <v>0</v>
      </c>
      <c r="T86" s="181">
        <f t="shared" si="43"/>
        <v>0</v>
      </c>
      <c r="U86" s="203">
        <v>12</v>
      </c>
      <c r="V86" s="182"/>
      <c r="W86" s="182"/>
      <c r="X86" s="182"/>
      <c r="Y86" s="182"/>
      <c r="Z86" s="183">
        <v>194.01689999999999</v>
      </c>
      <c r="AA86" s="184" t="s">
        <v>217</v>
      </c>
      <c r="AB86" s="176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21.95" customHeight="1">
      <c r="A87" s="11">
        <v>8287</v>
      </c>
      <c r="B87" s="15" t="s">
        <v>185</v>
      </c>
      <c r="C87" s="51"/>
      <c r="D87" s="156">
        <v>39.270000000000003</v>
      </c>
      <c r="E87" s="177">
        <f t="shared" si="41"/>
        <v>0</v>
      </c>
      <c r="F87" s="177">
        <f t="shared" si="7"/>
        <v>0</v>
      </c>
      <c r="G87" s="58"/>
      <c r="H87" s="177"/>
      <c r="I87" s="59">
        <v>7.0000000000000007E-2</v>
      </c>
      <c r="J87" s="59"/>
      <c r="K87" s="177">
        <f t="shared" si="1"/>
        <v>0</v>
      </c>
      <c r="L87" s="178">
        <v>0.20499999999999999</v>
      </c>
      <c r="M87" s="177"/>
      <c r="N87" s="177"/>
      <c r="O87" s="177">
        <f t="shared" si="2"/>
        <v>0</v>
      </c>
      <c r="P87" s="177">
        <f t="shared" si="3"/>
        <v>0</v>
      </c>
      <c r="Q87" s="185">
        <v>0.14299999999999999</v>
      </c>
      <c r="R87" s="180">
        <f t="shared" si="42"/>
        <v>0</v>
      </c>
      <c r="S87" s="180">
        <f t="shared" si="5"/>
        <v>0</v>
      </c>
      <c r="T87" s="181">
        <f t="shared" si="43"/>
        <v>0</v>
      </c>
      <c r="U87" s="203">
        <v>12</v>
      </c>
      <c r="V87" s="182"/>
      <c r="W87" s="182"/>
      <c r="X87" s="182"/>
      <c r="Y87" s="182"/>
      <c r="Z87" s="183">
        <v>136.29000000000002</v>
      </c>
      <c r="AA87" s="183">
        <v>218.17950000000002</v>
      </c>
      <c r="AB87" s="176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21.95" customHeight="1">
      <c r="A88" s="11">
        <v>8279</v>
      </c>
      <c r="B88" s="16" t="s">
        <v>186</v>
      </c>
      <c r="C88" s="51"/>
      <c r="D88" s="157">
        <v>36.86</v>
      </c>
      <c r="E88" s="177">
        <f t="shared" si="41"/>
        <v>0</v>
      </c>
      <c r="F88" s="177">
        <f t="shared" si="7"/>
        <v>0</v>
      </c>
      <c r="G88" s="58"/>
      <c r="H88" s="177"/>
      <c r="I88" s="59">
        <v>7.0000000000000007E-2</v>
      </c>
      <c r="J88" s="59"/>
      <c r="K88" s="177">
        <f t="shared" si="1"/>
        <v>0</v>
      </c>
      <c r="L88" s="178">
        <v>0.20499999999999999</v>
      </c>
      <c r="M88" s="177"/>
      <c r="N88" s="177"/>
      <c r="O88" s="177">
        <f t="shared" si="2"/>
        <v>0</v>
      </c>
      <c r="P88" s="177">
        <f t="shared" si="3"/>
        <v>0</v>
      </c>
      <c r="Q88" s="185">
        <v>0.14299999999999999</v>
      </c>
      <c r="R88" s="180">
        <f t="shared" si="42"/>
        <v>0</v>
      </c>
      <c r="S88" s="180">
        <f t="shared" si="5"/>
        <v>0</v>
      </c>
      <c r="T88" s="181">
        <f t="shared" si="43"/>
        <v>0</v>
      </c>
      <c r="U88" s="192">
        <v>12</v>
      </c>
      <c r="V88" s="182"/>
      <c r="W88" s="182"/>
      <c r="X88" s="182"/>
      <c r="Y88" s="182"/>
      <c r="Z88" s="183">
        <v>99.75</v>
      </c>
      <c r="AA88" s="183">
        <v>157.5</v>
      </c>
      <c r="AB88" s="176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21.95" customHeight="1">
      <c r="A89" s="11">
        <v>8477</v>
      </c>
      <c r="B89" s="12" t="s">
        <v>187</v>
      </c>
      <c r="C89" s="51"/>
      <c r="D89" s="158">
        <v>25</v>
      </c>
      <c r="E89" s="177">
        <f t="shared" si="41"/>
        <v>0</v>
      </c>
      <c r="F89" s="177">
        <f t="shared" si="7"/>
        <v>0</v>
      </c>
      <c r="G89" s="58"/>
      <c r="H89" s="177"/>
      <c r="I89" s="59">
        <v>7.0000000000000007E-2</v>
      </c>
      <c r="J89" s="59"/>
      <c r="K89" s="177">
        <f t="shared" si="1"/>
        <v>0</v>
      </c>
      <c r="L89" s="178">
        <v>0.20499999999999999</v>
      </c>
      <c r="M89" s="177"/>
      <c r="N89" s="177"/>
      <c r="O89" s="177">
        <f t="shared" si="2"/>
        <v>0</v>
      </c>
      <c r="P89" s="177">
        <f t="shared" si="3"/>
        <v>0</v>
      </c>
      <c r="Q89" s="185">
        <v>0.14299999999999999</v>
      </c>
      <c r="R89" s="180">
        <f t="shared" si="42"/>
        <v>0</v>
      </c>
      <c r="S89" s="180">
        <f t="shared" si="5"/>
        <v>0</v>
      </c>
      <c r="T89" s="181">
        <f t="shared" si="43"/>
        <v>0</v>
      </c>
      <c r="U89" s="204">
        <v>24</v>
      </c>
      <c r="V89" s="182"/>
      <c r="W89" s="182"/>
      <c r="X89" s="182"/>
      <c r="Y89" s="182"/>
      <c r="Z89" s="183">
        <v>63</v>
      </c>
      <c r="AA89" s="183">
        <v>100.8</v>
      </c>
      <c r="AB89" s="176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21.95" customHeight="1">
      <c r="A90" s="11">
        <v>8262</v>
      </c>
      <c r="B90" s="33" t="s">
        <v>188</v>
      </c>
      <c r="C90" s="51"/>
      <c r="D90" s="159">
        <v>29.24</v>
      </c>
      <c r="E90" s="177">
        <f t="shared" si="41"/>
        <v>0</v>
      </c>
      <c r="F90" s="177">
        <f t="shared" si="7"/>
        <v>0</v>
      </c>
      <c r="G90" s="58"/>
      <c r="H90" s="177"/>
      <c r="I90" s="59">
        <v>7.0000000000000007E-2</v>
      </c>
      <c r="J90" s="59"/>
      <c r="K90" s="177">
        <f t="shared" si="1"/>
        <v>0</v>
      </c>
      <c r="L90" s="178">
        <v>0.20499999999999999</v>
      </c>
      <c r="M90" s="177"/>
      <c r="N90" s="177"/>
      <c r="O90" s="177">
        <f t="shared" si="2"/>
        <v>0</v>
      </c>
      <c r="P90" s="177">
        <f t="shared" si="3"/>
        <v>0</v>
      </c>
      <c r="Q90" s="185">
        <v>0.14299999999999999</v>
      </c>
      <c r="R90" s="180">
        <f t="shared" si="42"/>
        <v>0</v>
      </c>
      <c r="S90" s="180">
        <f t="shared" si="5"/>
        <v>0</v>
      </c>
      <c r="T90" s="181">
        <f t="shared" si="43"/>
        <v>0</v>
      </c>
      <c r="U90" s="205">
        <v>12</v>
      </c>
      <c r="V90" s="182"/>
      <c r="W90" s="182"/>
      <c r="X90" s="182"/>
      <c r="Y90" s="182"/>
      <c r="Z90" s="183">
        <v>77.7</v>
      </c>
      <c r="AA90" s="183">
        <v>123.9</v>
      </c>
      <c r="AB90" s="176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21.95" customHeight="1">
      <c r="A91" s="11">
        <v>2310</v>
      </c>
      <c r="B91" s="34" t="s">
        <v>264</v>
      </c>
      <c r="C91" s="51"/>
      <c r="D91" s="160">
        <v>39.69</v>
      </c>
      <c r="E91" s="177">
        <f t="shared" si="41"/>
        <v>0</v>
      </c>
      <c r="F91" s="177">
        <f t="shared" ref="F91:F161" si="44">E91+R91</f>
        <v>0</v>
      </c>
      <c r="G91" s="58"/>
      <c r="H91" s="177"/>
      <c r="I91" s="59">
        <v>7.0000000000000007E-2</v>
      </c>
      <c r="J91" s="59"/>
      <c r="K91" s="177">
        <f t="shared" ref="K91:K161" si="45">N91*J91</f>
        <v>0</v>
      </c>
      <c r="L91" s="178">
        <v>0.20499999999999999</v>
      </c>
      <c r="M91" s="177"/>
      <c r="N91" s="177"/>
      <c r="O91" s="177">
        <f t="shared" ref="O91:O161" si="46">(N91*L91-M91)+K91</f>
        <v>0</v>
      </c>
      <c r="P91" s="177">
        <f t="shared" ref="P91:P161" si="47">E91+O91</f>
        <v>0</v>
      </c>
      <c r="Q91" s="185">
        <v>0.14299999999999999</v>
      </c>
      <c r="R91" s="180">
        <f t="shared" si="42"/>
        <v>0</v>
      </c>
      <c r="S91" s="180">
        <f t="shared" ref="S91:S161" si="48">E91+R91+O91</f>
        <v>0</v>
      </c>
      <c r="T91" s="181">
        <f t="shared" si="43"/>
        <v>0</v>
      </c>
      <c r="U91" s="206">
        <v>24</v>
      </c>
      <c r="V91" s="182"/>
      <c r="W91" s="182"/>
      <c r="X91" s="182"/>
      <c r="Y91" s="182"/>
      <c r="Z91" s="183">
        <v>95.445000000000007</v>
      </c>
      <c r="AA91" s="183">
        <v>151.19999999999999</v>
      </c>
      <c r="AB91" s="176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21.95" customHeight="1">
      <c r="A92" s="11">
        <v>2311</v>
      </c>
      <c r="B92" s="34" t="s">
        <v>265</v>
      </c>
      <c r="C92" s="51"/>
      <c r="D92" s="160">
        <v>17.64</v>
      </c>
      <c r="E92" s="177">
        <f t="shared" si="41"/>
        <v>0</v>
      </c>
      <c r="F92" s="177">
        <f t="shared" si="44"/>
        <v>0</v>
      </c>
      <c r="G92" s="58"/>
      <c r="H92" s="177"/>
      <c r="I92" s="59">
        <v>7.0000000000000007E-2</v>
      </c>
      <c r="J92" s="59"/>
      <c r="K92" s="177">
        <f t="shared" si="45"/>
        <v>0</v>
      </c>
      <c r="L92" s="178">
        <v>0.20499999999999999</v>
      </c>
      <c r="M92" s="177"/>
      <c r="N92" s="177"/>
      <c r="O92" s="177">
        <f t="shared" si="46"/>
        <v>0</v>
      </c>
      <c r="P92" s="177">
        <f t="shared" si="47"/>
        <v>0</v>
      </c>
      <c r="Q92" s="185">
        <v>0.14299999999999999</v>
      </c>
      <c r="R92" s="180">
        <f t="shared" si="42"/>
        <v>0</v>
      </c>
      <c r="S92" s="180">
        <f t="shared" si="48"/>
        <v>0</v>
      </c>
      <c r="T92" s="181">
        <f t="shared" si="43"/>
        <v>0</v>
      </c>
      <c r="U92" s="206">
        <v>24</v>
      </c>
      <c r="V92" s="182"/>
      <c r="W92" s="182"/>
      <c r="X92" s="182"/>
      <c r="Y92" s="182"/>
      <c r="Z92" s="183">
        <v>40.424999999999997</v>
      </c>
      <c r="AA92" s="183">
        <v>67.872</v>
      </c>
      <c r="AB92" s="176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21.95" customHeight="1">
      <c r="A93" s="93">
        <v>8046</v>
      </c>
      <c r="B93" s="131" t="s">
        <v>297</v>
      </c>
      <c r="C93" s="96"/>
      <c r="D93" s="132">
        <v>40.479999999999997</v>
      </c>
      <c r="E93" s="177">
        <f t="shared" si="41"/>
        <v>0</v>
      </c>
      <c r="F93" s="177">
        <f t="shared" si="44"/>
        <v>0</v>
      </c>
      <c r="G93" s="58"/>
      <c r="H93" s="177"/>
      <c r="I93" s="59">
        <v>7.0000000000000007E-2</v>
      </c>
      <c r="J93" s="59"/>
      <c r="K93" s="177">
        <f t="shared" si="45"/>
        <v>0</v>
      </c>
      <c r="L93" s="178">
        <v>0.20499999999999999</v>
      </c>
      <c r="M93" s="177"/>
      <c r="N93" s="177"/>
      <c r="O93" s="177">
        <f t="shared" si="46"/>
        <v>0</v>
      </c>
      <c r="P93" s="177">
        <f t="shared" si="47"/>
        <v>0</v>
      </c>
      <c r="Q93" s="185">
        <v>0.14299999999999999</v>
      </c>
      <c r="R93" s="180">
        <f t="shared" si="42"/>
        <v>0</v>
      </c>
      <c r="S93" s="180">
        <f t="shared" si="48"/>
        <v>0</v>
      </c>
      <c r="T93" s="181">
        <f t="shared" si="43"/>
        <v>0</v>
      </c>
      <c r="U93" s="207">
        <v>24</v>
      </c>
      <c r="V93" s="182"/>
      <c r="W93" s="182"/>
      <c r="X93" s="182"/>
      <c r="Y93" s="182"/>
      <c r="Z93" s="183">
        <v>104.99</v>
      </c>
      <c r="AA93" s="183">
        <v>166.32</v>
      </c>
      <c r="AB93" s="176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21.95" customHeight="1">
      <c r="A94" s="93">
        <v>8047</v>
      </c>
      <c r="B94" s="131" t="s">
        <v>298</v>
      </c>
      <c r="C94" s="96"/>
      <c r="D94" s="132">
        <v>17.989999999999998</v>
      </c>
      <c r="E94" s="177">
        <f>D94*C94</f>
        <v>0</v>
      </c>
      <c r="F94" s="177">
        <f t="shared" si="44"/>
        <v>0</v>
      </c>
      <c r="G94" s="58"/>
      <c r="H94" s="177"/>
      <c r="I94" s="59">
        <v>7.0000000000000007E-2</v>
      </c>
      <c r="J94" s="59"/>
      <c r="K94" s="177">
        <f t="shared" si="45"/>
        <v>0</v>
      </c>
      <c r="L94" s="178">
        <v>0.20499999999999999</v>
      </c>
      <c r="M94" s="177"/>
      <c r="N94" s="177"/>
      <c r="O94" s="177">
        <f t="shared" si="46"/>
        <v>0</v>
      </c>
      <c r="P94" s="177">
        <f t="shared" si="47"/>
        <v>0</v>
      </c>
      <c r="Q94" s="185">
        <v>0.14299999999999999</v>
      </c>
      <c r="R94" s="180">
        <f t="shared" si="42"/>
        <v>0</v>
      </c>
      <c r="S94" s="180">
        <f t="shared" si="48"/>
        <v>0</v>
      </c>
      <c r="T94" s="181">
        <f t="shared" si="43"/>
        <v>0</v>
      </c>
      <c r="U94" s="207">
        <v>24</v>
      </c>
      <c r="V94" s="182"/>
      <c r="W94" s="182"/>
      <c r="X94" s="182"/>
      <c r="Y94" s="182"/>
      <c r="Z94" s="183">
        <v>44.47</v>
      </c>
      <c r="AA94" s="183">
        <v>74.66</v>
      </c>
      <c r="AB94" s="176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21.95" customHeight="1">
      <c r="A95" s="49" t="s">
        <v>6</v>
      </c>
      <c r="B95" s="49" t="s">
        <v>21</v>
      </c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176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21.95" customHeight="1">
      <c r="A96" s="11">
        <v>8301</v>
      </c>
      <c r="B96" s="35" t="s">
        <v>189</v>
      </c>
      <c r="C96" s="51"/>
      <c r="D96" s="161">
        <v>35.495999999999995</v>
      </c>
      <c r="E96" s="177">
        <f>D96*C96</f>
        <v>0</v>
      </c>
      <c r="F96" s="177">
        <f t="shared" si="44"/>
        <v>0</v>
      </c>
      <c r="G96" s="58"/>
      <c r="H96" s="177"/>
      <c r="I96" s="59">
        <v>7.0000000000000007E-2</v>
      </c>
      <c r="J96" s="59"/>
      <c r="K96" s="177">
        <f t="shared" si="45"/>
        <v>0</v>
      </c>
      <c r="L96" s="178">
        <v>0.20499999999999999</v>
      </c>
      <c r="M96" s="177"/>
      <c r="N96" s="177"/>
      <c r="O96" s="177">
        <f t="shared" si="46"/>
        <v>0</v>
      </c>
      <c r="P96" s="177">
        <f t="shared" si="47"/>
        <v>0</v>
      </c>
      <c r="Q96" s="179">
        <v>4.5499999999999999E-2</v>
      </c>
      <c r="R96" s="180">
        <f t="shared" si="42"/>
        <v>0</v>
      </c>
      <c r="S96" s="180">
        <f t="shared" si="48"/>
        <v>0</v>
      </c>
      <c r="T96" s="181">
        <f>C96/U96</f>
        <v>0</v>
      </c>
      <c r="U96" s="208">
        <v>12</v>
      </c>
      <c r="V96" s="182"/>
      <c r="W96" s="182"/>
      <c r="X96" s="182"/>
      <c r="Y96" s="182"/>
      <c r="Z96" s="183">
        <v>125.89500000000001</v>
      </c>
      <c r="AA96" s="183">
        <v>201.54749999999999</v>
      </c>
      <c r="AB96" s="176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21.95" customHeight="1">
      <c r="A97" s="11">
        <v>8302</v>
      </c>
      <c r="B97" s="35" t="s">
        <v>190</v>
      </c>
      <c r="C97" s="51"/>
      <c r="D97" s="161">
        <v>35.495999999999995</v>
      </c>
      <c r="E97" s="177">
        <f t="shared" ref="E97:E123" si="49">D97*C97</f>
        <v>0</v>
      </c>
      <c r="F97" s="177">
        <f t="shared" si="44"/>
        <v>0</v>
      </c>
      <c r="G97" s="58"/>
      <c r="H97" s="177"/>
      <c r="I97" s="59">
        <v>7.0000000000000007E-2</v>
      </c>
      <c r="J97" s="59"/>
      <c r="K97" s="177">
        <f t="shared" si="45"/>
        <v>0</v>
      </c>
      <c r="L97" s="178">
        <v>0.20499999999999999</v>
      </c>
      <c r="M97" s="177"/>
      <c r="N97" s="177"/>
      <c r="O97" s="177">
        <f t="shared" si="46"/>
        <v>0</v>
      </c>
      <c r="P97" s="177">
        <f t="shared" si="47"/>
        <v>0</v>
      </c>
      <c r="Q97" s="179">
        <v>4.5499999999999999E-2</v>
      </c>
      <c r="R97" s="180">
        <f t="shared" si="42"/>
        <v>0</v>
      </c>
      <c r="S97" s="180">
        <f t="shared" si="48"/>
        <v>0</v>
      </c>
      <c r="T97" s="181">
        <f t="shared" ref="T97:T123" si="50">C97/U97</f>
        <v>0</v>
      </c>
      <c r="U97" s="208">
        <v>12</v>
      </c>
      <c r="V97" s="182"/>
      <c r="W97" s="182"/>
      <c r="X97" s="182"/>
      <c r="Y97" s="182"/>
      <c r="Z97" s="183">
        <v>125.89500000000001</v>
      </c>
      <c r="AA97" s="183">
        <v>201.54749999999999</v>
      </c>
      <c r="AB97" s="176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21.95" customHeight="1">
      <c r="A98" s="11">
        <v>8303</v>
      </c>
      <c r="B98" s="35" t="s">
        <v>191</v>
      </c>
      <c r="C98" s="51"/>
      <c r="D98" s="161">
        <v>35.495999999999995</v>
      </c>
      <c r="E98" s="177">
        <f t="shared" si="49"/>
        <v>0</v>
      </c>
      <c r="F98" s="177">
        <f>E98+R98</f>
        <v>0</v>
      </c>
      <c r="G98" s="58"/>
      <c r="H98" s="177"/>
      <c r="I98" s="59">
        <v>7.0000000000000007E-2</v>
      </c>
      <c r="J98" s="59"/>
      <c r="K98" s="177">
        <f t="shared" si="45"/>
        <v>0</v>
      </c>
      <c r="L98" s="178">
        <v>0.20499999999999999</v>
      </c>
      <c r="M98" s="177"/>
      <c r="N98" s="177"/>
      <c r="O98" s="177">
        <f t="shared" si="46"/>
        <v>0</v>
      </c>
      <c r="P98" s="177">
        <f t="shared" si="47"/>
        <v>0</v>
      </c>
      <c r="Q98" s="185">
        <v>0.14299999999999999</v>
      </c>
      <c r="R98" s="180">
        <f t="shared" si="42"/>
        <v>0</v>
      </c>
      <c r="S98" s="180">
        <f t="shared" si="48"/>
        <v>0</v>
      </c>
      <c r="T98" s="181">
        <f t="shared" si="50"/>
        <v>0</v>
      </c>
      <c r="U98" s="208">
        <v>12</v>
      </c>
      <c r="V98" s="182"/>
      <c r="W98" s="182"/>
      <c r="X98" s="182"/>
      <c r="Y98" s="182"/>
      <c r="Z98" s="183">
        <v>161.69999999999999</v>
      </c>
      <c r="AA98" s="183">
        <v>258.72000000000003</v>
      </c>
      <c r="AB98" s="176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21.95" customHeight="1">
      <c r="A99" s="11">
        <v>8304</v>
      </c>
      <c r="B99" s="35" t="s">
        <v>192</v>
      </c>
      <c r="C99" s="51"/>
      <c r="D99" s="161">
        <v>14.392199999999999</v>
      </c>
      <c r="E99" s="177">
        <f t="shared" si="49"/>
        <v>0</v>
      </c>
      <c r="F99" s="177">
        <f t="shared" si="44"/>
        <v>0</v>
      </c>
      <c r="G99" s="58"/>
      <c r="H99" s="177"/>
      <c r="I99" s="59">
        <v>7.0000000000000007E-2</v>
      </c>
      <c r="J99" s="59"/>
      <c r="K99" s="177">
        <f t="shared" si="45"/>
        <v>0</v>
      </c>
      <c r="L99" s="178">
        <v>0.20499999999999999</v>
      </c>
      <c r="M99" s="177"/>
      <c r="N99" s="177"/>
      <c r="O99" s="177">
        <f t="shared" si="46"/>
        <v>0</v>
      </c>
      <c r="P99" s="177">
        <f t="shared" si="47"/>
        <v>0</v>
      </c>
      <c r="Q99" s="179">
        <v>4.5499999999999999E-2</v>
      </c>
      <c r="R99" s="180">
        <f t="shared" si="42"/>
        <v>0</v>
      </c>
      <c r="S99" s="180">
        <f t="shared" si="48"/>
        <v>0</v>
      </c>
      <c r="T99" s="181">
        <f t="shared" si="50"/>
        <v>0</v>
      </c>
      <c r="U99" s="208">
        <v>24</v>
      </c>
      <c r="V99" s="182"/>
      <c r="W99" s="182"/>
      <c r="X99" s="182"/>
      <c r="Y99" s="182"/>
      <c r="Z99" s="183">
        <v>46.777499999999996</v>
      </c>
      <c r="AA99" s="183">
        <v>75.075000000000003</v>
      </c>
      <c r="AB99" s="176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21.95" customHeight="1">
      <c r="A100" s="11">
        <v>8305</v>
      </c>
      <c r="B100" s="35" t="s">
        <v>193</v>
      </c>
      <c r="C100" s="51"/>
      <c r="D100" s="161">
        <v>14.392199999999999</v>
      </c>
      <c r="E100" s="177">
        <f t="shared" si="49"/>
        <v>0</v>
      </c>
      <c r="F100" s="177">
        <f t="shared" si="44"/>
        <v>0</v>
      </c>
      <c r="G100" s="58"/>
      <c r="H100" s="177"/>
      <c r="I100" s="59">
        <v>7.0000000000000007E-2</v>
      </c>
      <c r="J100" s="59"/>
      <c r="K100" s="177">
        <f t="shared" si="45"/>
        <v>0</v>
      </c>
      <c r="L100" s="178">
        <v>0.20499999999999999</v>
      </c>
      <c r="M100" s="177"/>
      <c r="N100" s="177"/>
      <c r="O100" s="177">
        <f t="shared" si="46"/>
        <v>0</v>
      </c>
      <c r="P100" s="177">
        <f t="shared" si="47"/>
        <v>0</v>
      </c>
      <c r="Q100" s="179">
        <v>4.5499999999999999E-2</v>
      </c>
      <c r="R100" s="180">
        <f t="shared" si="42"/>
        <v>0</v>
      </c>
      <c r="S100" s="180">
        <f t="shared" si="48"/>
        <v>0</v>
      </c>
      <c r="T100" s="181">
        <f t="shared" si="50"/>
        <v>0</v>
      </c>
      <c r="U100" s="208">
        <v>24</v>
      </c>
      <c r="V100" s="182"/>
      <c r="W100" s="182"/>
      <c r="X100" s="182"/>
      <c r="Y100" s="182"/>
      <c r="Z100" s="183">
        <v>46.777499999999996</v>
      </c>
      <c r="AA100" s="183">
        <v>75.075000000000003</v>
      </c>
      <c r="AB100" s="176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21.95" customHeight="1">
      <c r="A101" s="11">
        <v>8003</v>
      </c>
      <c r="B101" s="35" t="s">
        <v>194</v>
      </c>
      <c r="C101" s="51"/>
      <c r="D101" s="161">
        <v>15.65</v>
      </c>
      <c r="E101" s="177">
        <f t="shared" si="49"/>
        <v>0</v>
      </c>
      <c r="F101" s="177">
        <f t="shared" si="44"/>
        <v>0</v>
      </c>
      <c r="G101" s="58"/>
      <c r="H101" s="177"/>
      <c r="I101" s="59">
        <v>7.0000000000000007E-2</v>
      </c>
      <c r="J101" s="59"/>
      <c r="K101" s="177">
        <f t="shared" si="45"/>
        <v>0</v>
      </c>
      <c r="L101" s="178">
        <v>0.20499999999999999</v>
      </c>
      <c r="M101" s="177"/>
      <c r="N101" s="177"/>
      <c r="O101" s="177">
        <f t="shared" si="46"/>
        <v>0</v>
      </c>
      <c r="P101" s="177">
        <f t="shared" si="47"/>
        <v>0</v>
      </c>
      <c r="Q101" s="185">
        <v>0.14299999999999999</v>
      </c>
      <c r="R101" s="180">
        <f t="shared" si="42"/>
        <v>0</v>
      </c>
      <c r="S101" s="180">
        <f t="shared" si="48"/>
        <v>0</v>
      </c>
      <c r="T101" s="181">
        <f t="shared" si="50"/>
        <v>0</v>
      </c>
      <c r="U101" s="208">
        <v>12</v>
      </c>
      <c r="V101" s="182"/>
      <c r="W101" s="182"/>
      <c r="X101" s="182"/>
      <c r="Y101" s="182"/>
      <c r="Z101" s="183">
        <v>50.295000000000002</v>
      </c>
      <c r="AA101" s="183">
        <v>78.539999999999992</v>
      </c>
      <c r="AB101" s="176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21.95" customHeight="1">
      <c r="A102" s="11">
        <v>8306</v>
      </c>
      <c r="B102" s="35" t="s">
        <v>195</v>
      </c>
      <c r="C102" s="51"/>
      <c r="D102" s="161">
        <v>21.950399999999998</v>
      </c>
      <c r="E102" s="177">
        <f t="shared" si="49"/>
        <v>0</v>
      </c>
      <c r="F102" s="177">
        <f t="shared" si="44"/>
        <v>0</v>
      </c>
      <c r="G102" s="58"/>
      <c r="H102" s="177"/>
      <c r="I102" s="59">
        <v>7.0000000000000007E-2</v>
      </c>
      <c r="J102" s="59"/>
      <c r="K102" s="177">
        <f t="shared" si="45"/>
        <v>0</v>
      </c>
      <c r="L102" s="178">
        <v>0.20499999999999999</v>
      </c>
      <c r="M102" s="177"/>
      <c r="N102" s="177"/>
      <c r="O102" s="177">
        <f t="shared" si="46"/>
        <v>0</v>
      </c>
      <c r="P102" s="177">
        <f t="shared" si="47"/>
        <v>0</v>
      </c>
      <c r="Q102" s="185">
        <v>0.14299999999999999</v>
      </c>
      <c r="R102" s="180">
        <f t="shared" si="42"/>
        <v>0</v>
      </c>
      <c r="S102" s="180">
        <f t="shared" si="48"/>
        <v>0</v>
      </c>
      <c r="T102" s="181">
        <f t="shared" si="50"/>
        <v>0</v>
      </c>
      <c r="U102" s="208">
        <v>12</v>
      </c>
      <c r="V102" s="182"/>
      <c r="W102" s="182"/>
      <c r="X102" s="182"/>
      <c r="Y102" s="182"/>
      <c r="Z102" s="183">
        <v>70.454999999999998</v>
      </c>
      <c r="AA102" s="183">
        <v>112.72799999999999</v>
      </c>
      <c r="AB102" s="176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21.95" customHeight="1">
      <c r="A103" s="11">
        <v>8307</v>
      </c>
      <c r="B103" s="35" t="s">
        <v>22</v>
      </c>
      <c r="C103" s="51"/>
      <c r="D103" s="161">
        <v>14.392199999999999</v>
      </c>
      <c r="E103" s="177">
        <f t="shared" si="49"/>
        <v>0</v>
      </c>
      <c r="F103" s="177">
        <f t="shared" si="44"/>
        <v>0</v>
      </c>
      <c r="G103" s="58"/>
      <c r="H103" s="177"/>
      <c r="I103" s="59">
        <v>7.0000000000000007E-2</v>
      </c>
      <c r="J103" s="59"/>
      <c r="K103" s="177">
        <f t="shared" si="45"/>
        <v>0</v>
      </c>
      <c r="L103" s="178">
        <v>0.20499999999999999</v>
      </c>
      <c r="M103" s="177"/>
      <c r="N103" s="177"/>
      <c r="O103" s="177">
        <f t="shared" si="46"/>
        <v>0</v>
      </c>
      <c r="P103" s="177">
        <f t="shared" si="47"/>
        <v>0</v>
      </c>
      <c r="Q103" s="185">
        <v>0.14299999999999999</v>
      </c>
      <c r="R103" s="180">
        <f t="shared" si="42"/>
        <v>0</v>
      </c>
      <c r="S103" s="180">
        <f t="shared" si="48"/>
        <v>0</v>
      </c>
      <c r="T103" s="181">
        <f t="shared" si="50"/>
        <v>0</v>
      </c>
      <c r="U103" s="208">
        <v>24</v>
      </c>
      <c r="V103" s="182"/>
      <c r="W103" s="182"/>
      <c r="X103" s="182"/>
      <c r="Y103" s="182"/>
      <c r="Z103" s="183">
        <v>46.777499999999996</v>
      </c>
      <c r="AA103" s="183">
        <v>75.075000000000003</v>
      </c>
      <c r="AB103" s="176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21.95" customHeight="1">
      <c r="A104" s="11">
        <v>8401</v>
      </c>
      <c r="B104" s="12" t="s">
        <v>196</v>
      </c>
      <c r="C104" s="51"/>
      <c r="D104" s="158">
        <v>35.495999999999995</v>
      </c>
      <c r="E104" s="177">
        <f t="shared" si="49"/>
        <v>0</v>
      </c>
      <c r="F104" s="177">
        <f t="shared" si="44"/>
        <v>0</v>
      </c>
      <c r="G104" s="58"/>
      <c r="H104" s="177"/>
      <c r="I104" s="59">
        <v>7.0000000000000007E-2</v>
      </c>
      <c r="J104" s="59"/>
      <c r="K104" s="177">
        <f t="shared" si="45"/>
        <v>0</v>
      </c>
      <c r="L104" s="178">
        <v>0.20499999999999999</v>
      </c>
      <c r="M104" s="177"/>
      <c r="N104" s="177"/>
      <c r="O104" s="177">
        <f t="shared" si="46"/>
        <v>0</v>
      </c>
      <c r="P104" s="177">
        <f t="shared" si="47"/>
        <v>0</v>
      </c>
      <c r="Q104" s="179">
        <v>4.5499999999999999E-2</v>
      </c>
      <c r="R104" s="180">
        <f t="shared" si="42"/>
        <v>0</v>
      </c>
      <c r="S104" s="180">
        <f t="shared" si="48"/>
        <v>0</v>
      </c>
      <c r="T104" s="181">
        <f t="shared" si="50"/>
        <v>0</v>
      </c>
      <c r="U104" s="204">
        <v>12</v>
      </c>
      <c r="V104" s="182"/>
      <c r="W104" s="182"/>
      <c r="X104" s="182"/>
      <c r="Y104" s="182"/>
      <c r="Z104" s="183">
        <v>125.89500000000001</v>
      </c>
      <c r="AA104" s="183">
        <v>201.54749999999999</v>
      </c>
      <c r="AB104" s="176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21.95" customHeight="1">
      <c r="A105" s="11">
        <v>8402</v>
      </c>
      <c r="B105" s="12" t="s">
        <v>197</v>
      </c>
      <c r="C105" s="51"/>
      <c r="D105" s="158">
        <v>35.495999999999995</v>
      </c>
      <c r="E105" s="177">
        <f t="shared" si="49"/>
        <v>0</v>
      </c>
      <c r="F105" s="177">
        <f t="shared" si="44"/>
        <v>0</v>
      </c>
      <c r="G105" s="58"/>
      <c r="H105" s="177"/>
      <c r="I105" s="59">
        <v>7.0000000000000007E-2</v>
      </c>
      <c r="J105" s="59"/>
      <c r="K105" s="177">
        <f t="shared" si="45"/>
        <v>0</v>
      </c>
      <c r="L105" s="178">
        <v>0.20499999999999999</v>
      </c>
      <c r="M105" s="177"/>
      <c r="N105" s="177"/>
      <c r="O105" s="177">
        <f t="shared" si="46"/>
        <v>0</v>
      </c>
      <c r="P105" s="177">
        <f t="shared" si="47"/>
        <v>0</v>
      </c>
      <c r="Q105" s="179">
        <v>4.5499999999999999E-2</v>
      </c>
      <c r="R105" s="180">
        <f t="shared" si="42"/>
        <v>0</v>
      </c>
      <c r="S105" s="180">
        <f t="shared" si="48"/>
        <v>0</v>
      </c>
      <c r="T105" s="181">
        <f t="shared" si="50"/>
        <v>0</v>
      </c>
      <c r="U105" s="204">
        <v>12</v>
      </c>
      <c r="V105" s="182"/>
      <c r="W105" s="182"/>
      <c r="X105" s="182"/>
      <c r="Y105" s="182"/>
      <c r="Z105" s="183">
        <v>125.89500000000001</v>
      </c>
      <c r="AA105" s="183">
        <v>201.54749999999999</v>
      </c>
      <c r="AB105" s="176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21.95" customHeight="1">
      <c r="A106" s="11">
        <v>8403</v>
      </c>
      <c r="B106" s="12" t="s">
        <v>198</v>
      </c>
      <c r="C106" s="51"/>
      <c r="D106" s="158">
        <v>35.495999999999995</v>
      </c>
      <c r="E106" s="177">
        <f t="shared" si="49"/>
        <v>0</v>
      </c>
      <c r="F106" s="177">
        <f t="shared" si="44"/>
        <v>0</v>
      </c>
      <c r="G106" s="58"/>
      <c r="H106" s="177"/>
      <c r="I106" s="59">
        <v>7.0000000000000007E-2</v>
      </c>
      <c r="J106" s="59"/>
      <c r="K106" s="177">
        <f t="shared" si="45"/>
        <v>0</v>
      </c>
      <c r="L106" s="178">
        <v>0.20499999999999999</v>
      </c>
      <c r="M106" s="177"/>
      <c r="N106" s="177"/>
      <c r="O106" s="177">
        <f t="shared" si="46"/>
        <v>0</v>
      </c>
      <c r="P106" s="177">
        <f t="shared" si="47"/>
        <v>0</v>
      </c>
      <c r="Q106" s="185">
        <v>0.14299999999999999</v>
      </c>
      <c r="R106" s="180">
        <f t="shared" si="42"/>
        <v>0</v>
      </c>
      <c r="S106" s="180">
        <f t="shared" si="48"/>
        <v>0</v>
      </c>
      <c r="T106" s="181">
        <f t="shared" si="50"/>
        <v>0</v>
      </c>
      <c r="U106" s="204">
        <v>12</v>
      </c>
      <c r="V106" s="182"/>
      <c r="W106" s="182"/>
      <c r="X106" s="182"/>
      <c r="Y106" s="182"/>
      <c r="Z106" s="183">
        <v>161.69999999999999</v>
      </c>
      <c r="AA106" s="183">
        <v>258.72000000000003</v>
      </c>
      <c r="AB106" s="176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21.95" customHeight="1">
      <c r="A107" s="11">
        <v>8404</v>
      </c>
      <c r="B107" s="12" t="s">
        <v>199</v>
      </c>
      <c r="C107" s="51"/>
      <c r="D107" s="158">
        <v>14.392199999999999</v>
      </c>
      <c r="E107" s="177">
        <f t="shared" si="49"/>
        <v>0</v>
      </c>
      <c r="F107" s="177">
        <f t="shared" si="44"/>
        <v>0</v>
      </c>
      <c r="G107" s="58"/>
      <c r="H107" s="177"/>
      <c r="I107" s="59">
        <v>7.0000000000000007E-2</v>
      </c>
      <c r="J107" s="59"/>
      <c r="K107" s="177">
        <f t="shared" si="45"/>
        <v>0</v>
      </c>
      <c r="L107" s="178">
        <v>0.20499999999999999</v>
      </c>
      <c r="M107" s="177"/>
      <c r="N107" s="177"/>
      <c r="O107" s="177">
        <f t="shared" si="46"/>
        <v>0</v>
      </c>
      <c r="P107" s="177">
        <f t="shared" si="47"/>
        <v>0</v>
      </c>
      <c r="Q107" s="179">
        <v>4.5499999999999999E-2</v>
      </c>
      <c r="R107" s="180">
        <f t="shared" si="42"/>
        <v>0</v>
      </c>
      <c r="S107" s="180">
        <f t="shared" si="48"/>
        <v>0</v>
      </c>
      <c r="T107" s="181">
        <f t="shared" si="50"/>
        <v>0</v>
      </c>
      <c r="U107" s="204">
        <v>24</v>
      </c>
      <c r="V107" s="182"/>
      <c r="W107" s="182"/>
      <c r="X107" s="182"/>
      <c r="Y107" s="182"/>
      <c r="Z107" s="183">
        <v>46.777499999999996</v>
      </c>
      <c r="AA107" s="183">
        <v>75.075000000000003</v>
      </c>
      <c r="AB107" s="176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21.95" customHeight="1">
      <c r="A108" s="11">
        <v>8405</v>
      </c>
      <c r="B108" s="12" t="s">
        <v>200</v>
      </c>
      <c r="C108" s="51"/>
      <c r="D108" s="158">
        <v>14.392199999999999</v>
      </c>
      <c r="E108" s="177">
        <f t="shared" si="49"/>
        <v>0</v>
      </c>
      <c r="F108" s="177">
        <f t="shared" si="44"/>
        <v>0</v>
      </c>
      <c r="G108" s="58"/>
      <c r="H108" s="177"/>
      <c r="I108" s="59">
        <v>7.0000000000000007E-2</v>
      </c>
      <c r="J108" s="59"/>
      <c r="K108" s="177">
        <f t="shared" si="45"/>
        <v>0</v>
      </c>
      <c r="L108" s="178">
        <v>0.20499999999999999</v>
      </c>
      <c r="M108" s="177"/>
      <c r="N108" s="177"/>
      <c r="O108" s="177">
        <f t="shared" si="46"/>
        <v>0</v>
      </c>
      <c r="P108" s="177">
        <f t="shared" si="47"/>
        <v>0</v>
      </c>
      <c r="Q108" s="179">
        <v>4.5499999999999999E-2</v>
      </c>
      <c r="R108" s="180">
        <f t="shared" si="42"/>
        <v>0</v>
      </c>
      <c r="S108" s="180">
        <f t="shared" si="48"/>
        <v>0</v>
      </c>
      <c r="T108" s="181">
        <f t="shared" si="50"/>
        <v>0</v>
      </c>
      <c r="U108" s="204">
        <v>24</v>
      </c>
      <c r="V108" s="182"/>
      <c r="W108" s="182"/>
      <c r="X108" s="182"/>
      <c r="Y108" s="182"/>
      <c r="Z108" s="183">
        <v>46.777499999999996</v>
      </c>
      <c r="AA108" s="183">
        <v>75.075000000000003</v>
      </c>
      <c r="AB108" s="176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21.95" customHeight="1">
      <c r="A109" s="11">
        <v>8004</v>
      </c>
      <c r="B109" s="12" t="s">
        <v>201</v>
      </c>
      <c r="C109" s="51"/>
      <c r="D109" s="158">
        <v>15.65</v>
      </c>
      <c r="E109" s="177">
        <f t="shared" si="49"/>
        <v>0</v>
      </c>
      <c r="F109" s="177">
        <f t="shared" si="44"/>
        <v>0</v>
      </c>
      <c r="G109" s="58"/>
      <c r="H109" s="177"/>
      <c r="I109" s="59">
        <v>7.0000000000000007E-2</v>
      </c>
      <c r="J109" s="59"/>
      <c r="K109" s="177">
        <f t="shared" si="45"/>
        <v>0</v>
      </c>
      <c r="L109" s="178">
        <v>0.20499999999999999</v>
      </c>
      <c r="M109" s="177"/>
      <c r="N109" s="177"/>
      <c r="O109" s="177">
        <f t="shared" si="46"/>
        <v>0</v>
      </c>
      <c r="P109" s="177">
        <f t="shared" si="47"/>
        <v>0</v>
      </c>
      <c r="Q109" s="185">
        <v>0.14299999999999999</v>
      </c>
      <c r="R109" s="180">
        <f t="shared" si="42"/>
        <v>0</v>
      </c>
      <c r="S109" s="180">
        <f t="shared" si="48"/>
        <v>0</v>
      </c>
      <c r="T109" s="181">
        <f t="shared" si="50"/>
        <v>0</v>
      </c>
      <c r="U109" s="204">
        <v>12</v>
      </c>
      <c r="V109" s="182"/>
      <c r="W109" s="182"/>
      <c r="X109" s="182"/>
      <c r="Y109" s="182"/>
      <c r="Z109" s="183">
        <v>50.295000000000002</v>
      </c>
      <c r="AA109" s="183">
        <v>78.539999999999992</v>
      </c>
      <c r="AB109" s="176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21.95" customHeight="1">
      <c r="A110" s="11">
        <v>8406</v>
      </c>
      <c r="B110" s="12" t="s">
        <v>202</v>
      </c>
      <c r="C110" s="51"/>
      <c r="D110" s="158">
        <v>21.950399999999998</v>
      </c>
      <c r="E110" s="177">
        <f t="shared" si="49"/>
        <v>0</v>
      </c>
      <c r="F110" s="177">
        <f t="shared" si="44"/>
        <v>0</v>
      </c>
      <c r="G110" s="58"/>
      <c r="H110" s="177"/>
      <c r="I110" s="59">
        <v>7.0000000000000007E-2</v>
      </c>
      <c r="J110" s="59"/>
      <c r="K110" s="177">
        <f t="shared" si="45"/>
        <v>0</v>
      </c>
      <c r="L110" s="178">
        <v>0.20499999999999999</v>
      </c>
      <c r="M110" s="177"/>
      <c r="N110" s="177"/>
      <c r="O110" s="177">
        <f t="shared" si="46"/>
        <v>0</v>
      </c>
      <c r="P110" s="177">
        <f t="shared" si="47"/>
        <v>0</v>
      </c>
      <c r="Q110" s="185">
        <v>0.14299999999999999</v>
      </c>
      <c r="R110" s="180">
        <f t="shared" si="42"/>
        <v>0</v>
      </c>
      <c r="S110" s="180">
        <f t="shared" si="48"/>
        <v>0</v>
      </c>
      <c r="T110" s="181">
        <f t="shared" si="50"/>
        <v>0</v>
      </c>
      <c r="U110" s="204">
        <v>12</v>
      </c>
      <c r="V110" s="182"/>
      <c r="W110" s="182"/>
      <c r="X110" s="182"/>
      <c r="Y110" s="182"/>
      <c r="Z110" s="183">
        <v>70.454999999999998</v>
      </c>
      <c r="AA110" s="183">
        <v>112.72799999999999</v>
      </c>
      <c r="AB110" s="176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21.95" customHeight="1">
      <c r="A111" s="11">
        <v>8407</v>
      </c>
      <c r="B111" s="12" t="s">
        <v>23</v>
      </c>
      <c r="C111" s="51"/>
      <c r="D111" s="158">
        <v>13.86</v>
      </c>
      <c r="E111" s="177">
        <f t="shared" si="49"/>
        <v>0</v>
      </c>
      <c r="F111" s="177">
        <f t="shared" si="44"/>
        <v>0</v>
      </c>
      <c r="G111" s="58"/>
      <c r="H111" s="177"/>
      <c r="I111" s="59">
        <v>7.0000000000000007E-2</v>
      </c>
      <c r="J111" s="59"/>
      <c r="K111" s="177">
        <f t="shared" si="45"/>
        <v>0</v>
      </c>
      <c r="L111" s="178">
        <v>0.20499999999999999</v>
      </c>
      <c r="M111" s="177"/>
      <c r="N111" s="177"/>
      <c r="O111" s="177">
        <f t="shared" si="46"/>
        <v>0</v>
      </c>
      <c r="P111" s="177">
        <f t="shared" si="47"/>
        <v>0</v>
      </c>
      <c r="Q111" s="185">
        <v>0.14299999999999999</v>
      </c>
      <c r="R111" s="180">
        <f t="shared" si="42"/>
        <v>0</v>
      </c>
      <c r="S111" s="180">
        <f t="shared" si="48"/>
        <v>0</v>
      </c>
      <c r="T111" s="181">
        <f t="shared" si="50"/>
        <v>0</v>
      </c>
      <c r="U111" s="204">
        <v>24</v>
      </c>
      <c r="V111" s="182"/>
      <c r="W111" s="182"/>
      <c r="X111" s="182"/>
      <c r="Y111" s="182"/>
      <c r="Z111" s="183">
        <v>46.777499999999996</v>
      </c>
      <c r="AA111" s="183">
        <v>75.075000000000003</v>
      </c>
      <c r="AB111" s="176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21.95" customHeight="1">
      <c r="A112" s="11">
        <v>8412</v>
      </c>
      <c r="B112" s="36" t="s">
        <v>203</v>
      </c>
      <c r="C112" s="51"/>
      <c r="D112" s="162">
        <v>349.13</v>
      </c>
      <c r="E112" s="177">
        <f t="shared" si="49"/>
        <v>0</v>
      </c>
      <c r="F112" s="177">
        <f t="shared" si="44"/>
        <v>0</v>
      </c>
      <c r="G112" s="58"/>
      <c r="H112" s="177"/>
      <c r="I112" s="59">
        <v>7.0000000000000007E-2</v>
      </c>
      <c r="J112" s="59"/>
      <c r="K112" s="177">
        <f t="shared" si="45"/>
        <v>0</v>
      </c>
      <c r="L112" s="178">
        <v>0.20499999999999999</v>
      </c>
      <c r="M112" s="177"/>
      <c r="N112" s="177"/>
      <c r="O112" s="177">
        <f t="shared" si="46"/>
        <v>0</v>
      </c>
      <c r="P112" s="177">
        <f t="shared" si="47"/>
        <v>0</v>
      </c>
      <c r="Q112" s="179">
        <v>4.5499999999999999E-2</v>
      </c>
      <c r="R112" s="180">
        <f t="shared" si="42"/>
        <v>0</v>
      </c>
      <c r="S112" s="180">
        <f t="shared" si="48"/>
        <v>0</v>
      </c>
      <c r="T112" s="181">
        <f>C112/1</f>
        <v>0</v>
      </c>
      <c r="U112" s="204">
        <v>100</v>
      </c>
      <c r="V112" s="182"/>
      <c r="W112" s="182"/>
      <c r="X112" s="182"/>
      <c r="Y112" s="182"/>
      <c r="Z112" s="183">
        <v>9.1349999999999998</v>
      </c>
      <c r="AA112" s="183">
        <v>10.856999999999999</v>
      </c>
      <c r="AB112" s="176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21.95" customHeight="1">
      <c r="A113" s="11">
        <v>8409</v>
      </c>
      <c r="B113" s="36" t="s">
        <v>204</v>
      </c>
      <c r="C113" s="51"/>
      <c r="D113" s="162">
        <v>349.13</v>
      </c>
      <c r="E113" s="177">
        <f t="shared" si="49"/>
        <v>0</v>
      </c>
      <c r="F113" s="177">
        <f t="shared" si="44"/>
        <v>0</v>
      </c>
      <c r="G113" s="58"/>
      <c r="H113" s="177"/>
      <c r="I113" s="59">
        <v>7.0000000000000007E-2</v>
      </c>
      <c r="J113" s="59"/>
      <c r="K113" s="177">
        <f t="shared" si="45"/>
        <v>0</v>
      </c>
      <c r="L113" s="178">
        <v>0.20499999999999999</v>
      </c>
      <c r="M113" s="177"/>
      <c r="N113" s="177"/>
      <c r="O113" s="177">
        <f t="shared" si="46"/>
        <v>0</v>
      </c>
      <c r="P113" s="177">
        <f t="shared" si="47"/>
        <v>0</v>
      </c>
      <c r="Q113" s="179">
        <v>4.5499999999999999E-2</v>
      </c>
      <c r="R113" s="180">
        <f t="shared" si="42"/>
        <v>0</v>
      </c>
      <c r="S113" s="180">
        <f t="shared" si="48"/>
        <v>0</v>
      </c>
      <c r="T113" s="181">
        <f t="shared" ref="T113:T115" si="51">C113/1</f>
        <v>0</v>
      </c>
      <c r="U113" s="204">
        <v>100</v>
      </c>
      <c r="V113" s="182"/>
      <c r="W113" s="182"/>
      <c r="X113" s="182"/>
      <c r="Y113" s="182"/>
      <c r="Z113" s="183">
        <v>9.1349999999999998</v>
      </c>
      <c r="AA113" s="183">
        <v>10.856999999999999</v>
      </c>
      <c r="AB113" s="176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21.95" customHeight="1">
      <c r="A114" s="11">
        <v>8410</v>
      </c>
      <c r="B114" s="36" t="s">
        <v>205</v>
      </c>
      <c r="C114" s="51"/>
      <c r="D114" s="162">
        <v>370.97</v>
      </c>
      <c r="E114" s="177">
        <f t="shared" si="49"/>
        <v>0</v>
      </c>
      <c r="F114" s="177">
        <f t="shared" si="44"/>
        <v>0</v>
      </c>
      <c r="G114" s="58"/>
      <c r="H114" s="177"/>
      <c r="I114" s="59">
        <v>7.0000000000000007E-2</v>
      </c>
      <c r="J114" s="59"/>
      <c r="K114" s="177">
        <f t="shared" si="45"/>
        <v>0</v>
      </c>
      <c r="L114" s="178">
        <v>0.20499999999999999</v>
      </c>
      <c r="M114" s="177"/>
      <c r="N114" s="177"/>
      <c r="O114" s="177">
        <f t="shared" si="46"/>
        <v>0</v>
      </c>
      <c r="P114" s="177">
        <f t="shared" si="47"/>
        <v>0</v>
      </c>
      <c r="Q114" s="185">
        <v>0.14299999999999999</v>
      </c>
      <c r="R114" s="180">
        <f t="shared" si="42"/>
        <v>0</v>
      </c>
      <c r="S114" s="180">
        <f t="shared" si="48"/>
        <v>0</v>
      </c>
      <c r="T114" s="181">
        <f t="shared" si="51"/>
        <v>0</v>
      </c>
      <c r="U114" s="204">
        <v>100</v>
      </c>
      <c r="V114" s="182"/>
      <c r="W114" s="182"/>
      <c r="X114" s="182"/>
      <c r="Y114" s="182"/>
      <c r="Z114" s="183">
        <v>9.7125000000000004</v>
      </c>
      <c r="AA114" s="183">
        <v>11.4345</v>
      </c>
      <c r="AB114" s="176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21.95" customHeight="1">
      <c r="A115" s="11">
        <v>8411</v>
      </c>
      <c r="B115" s="36" t="s">
        <v>206</v>
      </c>
      <c r="C115" s="51"/>
      <c r="D115" s="162">
        <v>331.49</v>
      </c>
      <c r="E115" s="177">
        <f t="shared" si="49"/>
        <v>0</v>
      </c>
      <c r="F115" s="177">
        <f t="shared" si="44"/>
        <v>0</v>
      </c>
      <c r="G115" s="58"/>
      <c r="H115" s="177"/>
      <c r="I115" s="59">
        <v>7.0000000000000007E-2</v>
      </c>
      <c r="J115" s="59"/>
      <c r="K115" s="177">
        <f t="shared" si="45"/>
        <v>0</v>
      </c>
      <c r="L115" s="178">
        <v>0.20499999999999999</v>
      </c>
      <c r="M115" s="177"/>
      <c r="N115" s="177"/>
      <c r="O115" s="177">
        <f t="shared" si="46"/>
        <v>0</v>
      </c>
      <c r="P115" s="177">
        <f t="shared" si="47"/>
        <v>0</v>
      </c>
      <c r="Q115" s="185">
        <v>0.14299999999999999</v>
      </c>
      <c r="R115" s="180">
        <f t="shared" si="42"/>
        <v>0</v>
      </c>
      <c r="S115" s="180">
        <f t="shared" si="48"/>
        <v>0</v>
      </c>
      <c r="T115" s="181">
        <f t="shared" si="51"/>
        <v>0</v>
      </c>
      <c r="U115" s="204">
        <v>100</v>
      </c>
      <c r="V115" s="182"/>
      <c r="W115" s="182"/>
      <c r="X115" s="182"/>
      <c r="Y115" s="182"/>
      <c r="Z115" s="183">
        <v>9.1349999999999998</v>
      </c>
      <c r="AA115" s="183">
        <v>10.395</v>
      </c>
      <c r="AB115" s="176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21.95" customHeight="1">
      <c r="A116" s="11">
        <v>8501</v>
      </c>
      <c r="B116" s="17" t="s">
        <v>207</v>
      </c>
      <c r="C116" s="51"/>
      <c r="D116" s="163">
        <v>35.495999999999995</v>
      </c>
      <c r="E116" s="177">
        <f t="shared" si="49"/>
        <v>0</v>
      </c>
      <c r="F116" s="177">
        <f t="shared" si="44"/>
        <v>0</v>
      </c>
      <c r="G116" s="58"/>
      <c r="H116" s="177"/>
      <c r="I116" s="59">
        <v>7.0000000000000007E-2</v>
      </c>
      <c r="J116" s="59"/>
      <c r="K116" s="177">
        <f t="shared" si="45"/>
        <v>0</v>
      </c>
      <c r="L116" s="178">
        <v>0.20499999999999999</v>
      </c>
      <c r="M116" s="177"/>
      <c r="N116" s="177"/>
      <c r="O116" s="177">
        <f t="shared" si="46"/>
        <v>0</v>
      </c>
      <c r="P116" s="177">
        <f t="shared" si="47"/>
        <v>0</v>
      </c>
      <c r="Q116" s="179">
        <v>4.5499999999999999E-2</v>
      </c>
      <c r="R116" s="180">
        <f t="shared" si="42"/>
        <v>0</v>
      </c>
      <c r="S116" s="180">
        <f t="shared" si="48"/>
        <v>0</v>
      </c>
      <c r="T116" s="181">
        <f t="shared" si="50"/>
        <v>0</v>
      </c>
      <c r="U116" s="209">
        <v>12</v>
      </c>
      <c r="V116" s="182"/>
      <c r="W116" s="182"/>
      <c r="X116" s="182"/>
      <c r="Y116" s="182"/>
      <c r="Z116" s="183">
        <v>125.89500000000001</v>
      </c>
      <c r="AA116" s="183">
        <v>201.54749999999999</v>
      </c>
      <c r="AB116" s="176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21.95" customHeight="1">
      <c r="A117" s="11">
        <v>8502</v>
      </c>
      <c r="B117" s="17" t="s">
        <v>208</v>
      </c>
      <c r="C117" s="51"/>
      <c r="D117" s="163">
        <v>35.495999999999995</v>
      </c>
      <c r="E117" s="177">
        <f t="shared" si="49"/>
        <v>0</v>
      </c>
      <c r="F117" s="177">
        <f t="shared" si="44"/>
        <v>0</v>
      </c>
      <c r="G117" s="58"/>
      <c r="H117" s="177"/>
      <c r="I117" s="59">
        <v>7.0000000000000007E-2</v>
      </c>
      <c r="J117" s="59"/>
      <c r="K117" s="177">
        <f t="shared" si="45"/>
        <v>0</v>
      </c>
      <c r="L117" s="178">
        <v>0.20499999999999999</v>
      </c>
      <c r="M117" s="177"/>
      <c r="N117" s="177"/>
      <c r="O117" s="177">
        <f t="shared" si="46"/>
        <v>0</v>
      </c>
      <c r="P117" s="177">
        <f t="shared" si="47"/>
        <v>0</v>
      </c>
      <c r="Q117" s="179">
        <v>4.5499999999999999E-2</v>
      </c>
      <c r="R117" s="180">
        <f t="shared" si="42"/>
        <v>0</v>
      </c>
      <c r="S117" s="180">
        <f t="shared" si="48"/>
        <v>0</v>
      </c>
      <c r="T117" s="181">
        <f t="shared" si="50"/>
        <v>0</v>
      </c>
      <c r="U117" s="209">
        <v>12</v>
      </c>
      <c r="V117" s="182"/>
      <c r="W117" s="182"/>
      <c r="X117" s="182"/>
      <c r="Y117" s="182"/>
      <c r="Z117" s="183">
        <v>125.89500000000001</v>
      </c>
      <c r="AA117" s="183">
        <v>201.54749999999999</v>
      </c>
      <c r="AB117" s="176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21.95" customHeight="1">
      <c r="A118" s="11">
        <v>8503</v>
      </c>
      <c r="B118" s="17" t="s">
        <v>209</v>
      </c>
      <c r="C118" s="51"/>
      <c r="D118" s="163">
        <v>35.495999999999995</v>
      </c>
      <c r="E118" s="177">
        <f t="shared" si="49"/>
        <v>0</v>
      </c>
      <c r="F118" s="177">
        <f t="shared" si="44"/>
        <v>0</v>
      </c>
      <c r="G118" s="58"/>
      <c r="H118" s="177"/>
      <c r="I118" s="59">
        <v>7.0000000000000007E-2</v>
      </c>
      <c r="J118" s="59"/>
      <c r="K118" s="177">
        <f t="shared" si="45"/>
        <v>0</v>
      </c>
      <c r="L118" s="178">
        <v>0.20499999999999999</v>
      </c>
      <c r="M118" s="177"/>
      <c r="N118" s="177"/>
      <c r="O118" s="177">
        <f t="shared" si="46"/>
        <v>0</v>
      </c>
      <c r="P118" s="177">
        <f t="shared" si="47"/>
        <v>0</v>
      </c>
      <c r="Q118" s="185">
        <v>0.14299999999999999</v>
      </c>
      <c r="R118" s="180">
        <f t="shared" si="42"/>
        <v>0</v>
      </c>
      <c r="S118" s="180">
        <f t="shared" si="48"/>
        <v>0</v>
      </c>
      <c r="T118" s="181">
        <f t="shared" si="50"/>
        <v>0</v>
      </c>
      <c r="U118" s="209">
        <v>12</v>
      </c>
      <c r="V118" s="182"/>
      <c r="W118" s="182"/>
      <c r="X118" s="182"/>
      <c r="Y118" s="182"/>
      <c r="Z118" s="183">
        <v>161.69999999999999</v>
      </c>
      <c r="AA118" s="183">
        <v>258.72000000000003</v>
      </c>
      <c r="AB118" s="176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21.95" customHeight="1">
      <c r="A119" s="11">
        <v>8504</v>
      </c>
      <c r="B119" s="17" t="s">
        <v>210</v>
      </c>
      <c r="C119" s="51"/>
      <c r="D119" s="163">
        <v>14.392199999999999</v>
      </c>
      <c r="E119" s="177">
        <f t="shared" si="49"/>
        <v>0</v>
      </c>
      <c r="F119" s="177">
        <f t="shared" si="44"/>
        <v>0</v>
      </c>
      <c r="G119" s="58"/>
      <c r="H119" s="177"/>
      <c r="I119" s="59">
        <v>7.0000000000000007E-2</v>
      </c>
      <c r="J119" s="59"/>
      <c r="K119" s="177">
        <f t="shared" si="45"/>
        <v>0</v>
      </c>
      <c r="L119" s="178">
        <v>0.20499999999999999</v>
      </c>
      <c r="M119" s="177"/>
      <c r="N119" s="177"/>
      <c r="O119" s="177">
        <f t="shared" si="46"/>
        <v>0</v>
      </c>
      <c r="P119" s="177">
        <f t="shared" si="47"/>
        <v>0</v>
      </c>
      <c r="Q119" s="179">
        <v>4.5499999999999999E-2</v>
      </c>
      <c r="R119" s="180">
        <f t="shared" si="42"/>
        <v>0</v>
      </c>
      <c r="S119" s="180">
        <f t="shared" si="48"/>
        <v>0</v>
      </c>
      <c r="T119" s="181">
        <f t="shared" si="50"/>
        <v>0</v>
      </c>
      <c r="U119" s="209">
        <v>24</v>
      </c>
      <c r="V119" s="182"/>
      <c r="W119" s="182"/>
      <c r="X119" s="182"/>
      <c r="Y119" s="182"/>
      <c r="Z119" s="183">
        <v>46.777499999999996</v>
      </c>
      <c r="AA119" s="183">
        <v>75.075000000000003</v>
      </c>
      <c r="AB119" s="176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21.95" customHeight="1">
      <c r="A120" s="11">
        <v>8505</v>
      </c>
      <c r="B120" s="17" t="s">
        <v>211</v>
      </c>
      <c r="C120" s="51"/>
      <c r="D120" s="163">
        <v>14.392199999999999</v>
      </c>
      <c r="E120" s="177">
        <f t="shared" si="49"/>
        <v>0</v>
      </c>
      <c r="F120" s="177">
        <f t="shared" si="44"/>
        <v>0</v>
      </c>
      <c r="G120" s="58"/>
      <c r="H120" s="177"/>
      <c r="I120" s="59">
        <v>7.0000000000000007E-2</v>
      </c>
      <c r="J120" s="59"/>
      <c r="K120" s="177">
        <f t="shared" si="45"/>
        <v>0</v>
      </c>
      <c r="L120" s="178">
        <v>0.20499999999999999</v>
      </c>
      <c r="M120" s="177"/>
      <c r="N120" s="177"/>
      <c r="O120" s="177">
        <f t="shared" si="46"/>
        <v>0</v>
      </c>
      <c r="P120" s="177">
        <f t="shared" si="47"/>
        <v>0</v>
      </c>
      <c r="Q120" s="179">
        <v>4.5499999999999999E-2</v>
      </c>
      <c r="R120" s="180">
        <f t="shared" si="42"/>
        <v>0</v>
      </c>
      <c r="S120" s="180">
        <f t="shared" si="48"/>
        <v>0</v>
      </c>
      <c r="T120" s="181">
        <f t="shared" si="50"/>
        <v>0</v>
      </c>
      <c r="U120" s="209">
        <v>24</v>
      </c>
      <c r="V120" s="182"/>
      <c r="W120" s="182"/>
      <c r="X120" s="182"/>
      <c r="Y120" s="182"/>
      <c r="Z120" s="183">
        <v>46.777499999999996</v>
      </c>
      <c r="AA120" s="183">
        <v>75.075000000000003</v>
      </c>
      <c r="AB120" s="176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21.95" customHeight="1">
      <c r="A121" s="11">
        <v>8005</v>
      </c>
      <c r="B121" s="17" t="s">
        <v>212</v>
      </c>
      <c r="C121" s="51"/>
      <c r="D121" s="163">
        <v>15.65</v>
      </c>
      <c r="E121" s="177">
        <f t="shared" si="49"/>
        <v>0</v>
      </c>
      <c r="F121" s="177">
        <f t="shared" si="44"/>
        <v>0</v>
      </c>
      <c r="G121" s="58"/>
      <c r="H121" s="177"/>
      <c r="I121" s="59">
        <v>7.0000000000000007E-2</v>
      </c>
      <c r="J121" s="59"/>
      <c r="K121" s="177">
        <f t="shared" si="45"/>
        <v>0</v>
      </c>
      <c r="L121" s="178">
        <v>0.20499999999999999</v>
      </c>
      <c r="M121" s="177"/>
      <c r="N121" s="177"/>
      <c r="O121" s="177">
        <f t="shared" si="46"/>
        <v>0</v>
      </c>
      <c r="P121" s="177">
        <f t="shared" si="47"/>
        <v>0</v>
      </c>
      <c r="Q121" s="185">
        <v>0.14299999999999999</v>
      </c>
      <c r="R121" s="180">
        <f t="shared" si="42"/>
        <v>0</v>
      </c>
      <c r="S121" s="180">
        <f t="shared" si="48"/>
        <v>0</v>
      </c>
      <c r="T121" s="181">
        <f t="shared" si="50"/>
        <v>0</v>
      </c>
      <c r="U121" s="209">
        <v>12</v>
      </c>
      <c r="V121" s="182"/>
      <c r="W121" s="182"/>
      <c r="X121" s="182"/>
      <c r="Y121" s="182"/>
      <c r="Z121" s="183">
        <v>50.295000000000002</v>
      </c>
      <c r="AA121" s="183">
        <v>78.539999999999992</v>
      </c>
      <c r="AB121" s="176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21.95" customHeight="1">
      <c r="A122" s="11">
        <v>8506</v>
      </c>
      <c r="B122" s="17" t="s">
        <v>213</v>
      </c>
      <c r="C122" s="51"/>
      <c r="D122" s="163">
        <v>21.950399999999998</v>
      </c>
      <c r="E122" s="177">
        <f t="shared" si="49"/>
        <v>0</v>
      </c>
      <c r="F122" s="177">
        <f t="shared" si="44"/>
        <v>0</v>
      </c>
      <c r="G122" s="58"/>
      <c r="H122" s="177"/>
      <c r="I122" s="59">
        <v>7.0000000000000007E-2</v>
      </c>
      <c r="J122" s="59"/>
      <c r="K122" s="177">
        <f t="shared" si="45"/>
        <v>0</v>
      </c>
      <c r="L122" s="178">
        <v>0.20499999999999999</v>
      </c>
      <c r="M122" s="177"/>
      <c r="N122" s="177"/>
      <c r="O122" s="177">
        <f t="shared" si="46"/>
        <v>0</v>
      </c>
      <c r="P122" s="177">
        <f t="shared" si="47"/>
        <v>0</v>
      </c>
      <c r="Q122" s="185">
        <v>0.14299999999999999</v>
      </c>
      <c r="R122" s="180">
        <f t="shared" si="42"/>
        <v>0</v>
      </c>
      <c r="S122" s="180">
        <f t="shared" si="48"/>
        <v>0</v>
      </c>
      <c r="T122" s="181">
        <f t="shared" si="50"/>
        <v>0</v>
      </c>
      <c r="U122" s="209">
        <v>12</v>
      </c>
      <c r="V122" s="182"/>
      <c r="W122" s="182"/>
      <c r="X122" s="182"/>
      <c r="Y122" s="182"/>
      <c r="Z122" s="183">
        <v>70.454999999999998</v>
      </c>
      <c r="AA122" s="183">
        <v>112.72799999999999</v>
      </c>
      <c r="AB122" s="176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21.95" customHeight="1">
      <c r="A123" s="11">
        <v>8507</v>
      </c>
      <c r="B123" s="17" t="s">
        <v>24</v>
      </c>
      <c r="C123" s="51"/>
      <c r="D123" s="163">
        <v>14.392199999999999</v>
      </c>
      <c r="E123" s="177">
        <f t="shared" si="49"/>
        <v>0</v>
      </c>
      <c r="F123" s="177">
        <f t="shared" si="44"/>
        <v>0</v>
      </c>
      <c r="G123" s="58"/>
      <c r="H123" s="177"/>
      <c r="I123" s="59">
        <v>7.0000000000000007E-2</v>
      </c>
      <c r="J123" s="59"/>
      <c r="K123" s="177">
        <f t="shared" si="45"/>
        <v>0</v>
      </c>
      <c r="L123" s="178">
        <v>0.20499999999999999</v>
      </c>
      <c r="M123" s="177"/>
      <c r="N123" s="177"/>
      <c r="O123" s="177">
        <f t="shared" si="46"/>
        <v>0</v>
      </c>
      <c r="P123" s="177">
        <f t="shared" si="47"/>
        <v>0</v>
      </c>
      <c r="Q123" s="185">
        <v>0.14299999999999999</v>
      </c>
      <c r="R123" s="180">
        <f t="shared" si="42"/>
        <v>0</v>
      </c>
      <c r="S123" s="180">
        <f t="shared" si="48"/>
        <v>0</v>
      </c>
      <c r="T123" s="181">
        <f t="shared" si="50"/>
        <v>0</v>
      </c>
      <c r="U123" s="209">
        <v>24</v>
      </c>
      <c r="V123" s="182"/>
      <c r="W123" s="182"/>
      <c r="X123" s="182"/>
      <c r="Y123" s="182"/>
      <c r="Z123" s="183">
        <v>46.777499999999996</v>
      </c>
      <c r="AA123" s="183">
        <v>75.075000000000003</v>
      </c>
      <c r="AB123" s="176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21.95" customHeight="1">
      <c r="A124" s="49" t="s">
        <v>6</v>
      </c>
      <c r="B124" s="63" t="s">
        <v>25</v>
      </c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176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21.95" customHeight="1">
      <c r="A125" s="11">
        <v>9001</v>
      </c>
      <c r="B125" s="37" t="s">
        <v>26</v>
      </c>
      <c r="C125" s="56"/>
      <c r="D125" s="164">
        <v>66.3</v>
      </c>
      <c r="E125" s="177">
        <f>D125*C125</f>
        <v>0</v>
      </c>
      <c r="F125" s="177">
        <f t="shared" si="44"/>
        <v>0</v>
      </c>
      <c r="G125" s="58"/>
      <c r="H125" s="177"/>
      <c r="I125" s="59">
        <v>7.0000000000000007E-2</v>
      </c>
      <c r="J125" s="59"/>
      <c r="K125" s="177">
        <f t="shared" si="45"/>
        <v>0</v>
      </c>
      <c r="L125" s="178">
        <v>0.20499999999999999</v>
      </c>
      <c r="M125" s="177"/>
      <c r="N125" s="177"/>
      <c r="O125" s="177">
        <f t="shared" si="46"/>
        <v>0</v>
      </c>
      <c r="P125" s="177">
        <f t="shared" si="47"/>
        <v>0</v>
      </c>
      <c r="Q125" s="179">
        <v>4.5499999999999999E-2</v>
      </c>
      <c r="R125" s="180">
        <f t="shared" si="42"/>
        <v>0</v>
      </c>
      <c r="S125" s="180">
        <f t="shared" si="48"/>
        <v>0</v>
      </c>
      <c r="T125" s="181">
        <f>C125/U125</f>
        <v>0</v>
      </c>
      <c r="U125" s="210">
        <v>4</v>
      </c>
      <c r="V125" s="182"/>
      <c r="W125" s="182"/>
      <c r="X125" s="182"/>
      <c r="Y125" s="182"/>
      <c r="Z125" s="183">
        <v>207.9</v>
      </c>
      <c r="AA125" s="191">
        <v>346.5</v>
      </c>
      <c r="AB125" s="176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21.95" customHeight="1">
      <c r="A126" s="11">
        <v>9002</v>
      </c>
      <c r="B126" s="18" t="s">
        <v>27</v>
      </c>
      <c r="C126" s="57"/>
      <c r="D126" s="164">
        <v>66.3</v>
      </c>
      <c r="E126" s="177">
        <f t="shared" ref="E126:E161" si="52">D126*C126</f>
        <v>0</v>
      </c>
      <c r="F126" s="177">
        <f t="shared" si="44"/>
        <v>0</v>
      </c>
      <c r="G126" s="58"/>
      <c r="H126" s="177"/>
      <c r="I126" s="59">
        <v>7.0000000000000007E-2</v>
      </c>
      <c r="J126" s="59"/>
      <c r="K126" s="177">
        <f t="shared" si="45"/>
        <v>0</v>
      </c>
      <c r="L126" s="178">
        <v>0.20499999999999999</v>
      </c>
      <c r="M126" s="177"/>
      <c r="N126" s="177"/>
      <c r="O126" s="177">
        <f t="shared" si="46"/>
        <v>0</v>
      </c>
      <c r="P126" s="177">
        <f t="shared" si="47"/>
        <v>0</v>
      </c>
      <c r="Q126" s="179">
        <v>4.5499999999999999E-2</v>
      </c>
      <c r="R126" s="180">
        <f t="shared" si="42"/>
        <v>0</v>
      </c>
      <c r="S126" s="180">
        <f t="shared" si="48"/>
        <v>0</v>
      </c>
      <c r="T126" s="181">
        <f t="shared" ref="T126:T134" si="53">C126/U126</f>
        <v>0</v>
      </c>
      <c r="U126" s="210">
        <v>4</v>
      </c>
      <c r="V126" s="182"/>
      <c r="W126" s="182"/>
      <c r="X126" s="182"/>
      <c r="Y126" s="182"/>
      <c r="Z126" s="183">
        <v>207.9</v>
      </c>
      <c r="AA126" s="191">
        <v>346.5</v>
      </c>
      <c r="AB126" s="176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21.95" customHeight="1">
      <c r="A127" s="11">
        <v>9029</v>
      </c>
      <c r="B127" s="18" t="s">
        <v>313</v>
      </c>
      <c r="C127" s="57"/>
      <c r="D127" s="262">
        <v>41.73</v>
      </c>
      <c r="E127" s="177">
        <f t="shared" ref="E127" si="54">D127*C127</f>
        <v>0</v>
      </c>
      <c r="F127" s="177">
        <f t="shared" ref="F127" si="55">E127+R127</f>
        <v>0</v>
      </c>
      <c r="G127" s="58"/>
      <c r="H127" s="177"/>
      <c r="I127" s="59">
        <v>7.0000000000000007E-2</v>
      </c>
      <c r="J127" s="59"/>
      <c r="K127" s="177">
        <f t="shared" ref="K127" si="56">N127*J127</f>
        <v>0</v>
      </c>
      <c r="L127" s="178">
        <v>0.20499999999999999</v>
      </c>
      <c r="M127" s="177"/>
      <c r="N127" s="177"/>
      <c r="O127" s="177">
        <f t="shared" si="46"/>
        <v>0</v>
      </c>
      <c r="P127" s="177">
        <f t="shared" si="47"/>
        <v>0</v>
      </c>
      <c r="Q127" s="185">
        <v>0.14299999999999999</v>
      </c>
      <c r="R127" s="180">
        <f t="shared" si="42"/>
        <v>0</v>
      </c>
      <c r="S127" s="180">
        <f t="shared" si="48"/>
        <v>0</v>
      </c>
      <c r="T127" s="181">
        <f t="shared" si="53"/>
        <v>0</v>
      </c>
      <c r="U127" s="210">
        <v>12</v>
      </c>
      <c r="V127" s="182"/>
      <c r="W127" s="182"/>
      <c r="X127" s="182"/>
      <c r="Y127" s="182"/>
      <c r="Z127" s="183">
        <v>198.34</v>
      </c>
      <c r="AA127" s="191">
        <v>317.35000000000002</v>
      </c>
      <c r="AB127" s="176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21.95" customHeight="1">
      <c r="A128" s="93">
        <v>9027</v>
      </c>
      <c r="B128" s="18" t="s">
        <v>299</v>
      </c>
      <c r="C128" s="57"/>
      <c r="D128" s="164">
        <v>60.49</v>
      </c>
      <c r="E128" s="177">
        <f t="shared" si="52"/>
        <v>0</v>
      </c>
      <c r="F128" s="177">
        <f t="shared" si="44"/>
        <v>0</v>
      </c>
      <c r="G128" s="58"/>
      <c r="H128" s="177"/>
      <c r="I128" s="59">
        <v>7.0000000000000007E-2</v>
      </c>
      <c r="J128" s="59"/>
      <c r="K128" s="177">
        <f t="shared" si="45"/>
        <v>0</v>
      </c>
      <c r="L128" s="178">
        <v>0.20499999999999999</v>
      </c>
      <c r="M128" s="177"/>
      <c r="N128" s="177"/>
      <c r="O128" s="177">
        <f t="shared" si="46"/>
        <v>0</v>
      </c>
      <c r="P128" s="177">
        <f t="shared" si="47"/>
        <v>0</v>
      </c>
      <c r="Q128" s="179">
        <v>4.5499999999999999E-2</v>
      </c>
      <c r="R128" s="180">
        <f t="shared" si="42"/>
        <v>0</v>
      </c>
      <c r="S128" s="180">
        <f t="shared" si="48"/>
        <v>0</v>
      </c>
      <c r="T128" s="181">
        <f t="shared" si="53"/>
        <v>0</v>
      </c>
      <c r="U128" s="210">
        <v>4</v>
      </c>
      <c r="V128" s="182"/>
      <c r="W128" s="182"/>
      <c r="X128" s="182"/>
      <c r="Y128" s="182"/>
      <c r="Z128" s="183">
        <v>191.45</v>
      </c>
      <c r="AA128" s="191">
        <v>319.14999999999998</v>
      </c>
      <c r="AB128" s="176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21.95" customHeight="1">
      <c r="A129" s="93">
        <v>9028</v>
      </c>
      <c r="B129" s="18" t="s">
        <v>300</v>
      </c>
      <c r="C129" s="57"/>
      <c r="D129" s="164">
        <v>60.49</v>
      </c>
      <c r="E129" s="177">
        <f t="shared" si="52"/>
        <v>0</v>
      </c>
      <c r="F129" s="177">
        <f t="shared" si="44"/>
        <v>0</v>
      </c>
      <c r="G129" s="58"/>
      <c r="H129" s="177"/>
      <c r="I129" s="59">
        <v>7.0000000000000007E-2</v>
      </c>
      <c r="J129" s="59"/>
      <c r="K129" s="177">
        <f t="shared" si="45"/>
        <v>0</v>
      </c>
      <c r="L129" s="178">
        <v>0.20499999999999999</v>
      </c>
      <c r="M129" s="177"/>
      <c r="N129" s="177"/>
      <c r="O129" s="177">
        <f t="shared" si="46"/>
        <v>0</v>
      </c>
      <c r="P129" s="177">
        <f t="shared" si="47"/>
        <v>0</v>
      </c>
      <c r="Q129" s="179">
        <v>4.5499999999999999E-2</v>
      </c>
      <c r="R129" s="180">
        <f t="shared" si="42"/>
        <v>0</v>
      </c>
      <c r="S129" s="180">
        <f t="shared" si="48"/>
        <v>0</v>
      </c>
      <c r="T129" s="181">
        <f t="shared" si="53"/>
        <v>0</v>
      </c>
      <c r="U129" s="210">
        <v>4</v>
      </c>
      <c r="V129" s="182"/>
      <c r="W129" s="182"/>
      <c r="X129" s="182"/>
      <c r="Y129" s="182"/>
      <c r="Z129" s="183">
        <v>191.45</v>
      </c>
      <c r="AA129" s="191">
        <v>319.14999999999998</v>
      </c>
      <c r="AB129" s="176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21.95" customHeight="1">
      <c r="A130" s="11">
        <v>9003</v>
      </c>
      <c r="B130" s="18" t="s">
        <v>214</v>
      </c>
      <c r="C130" s="57"/>
      <c r="D130" s="164">
        <v>14.994</v>
      </c>
      <c r="E130" s="177">
        <f t="shared" si="52"/>
        <v>0</v>
      </c>
      <c r="F130" s="177">
        <f t="shared" si="44"/>
        <v>0</v>
      </c>
      <c r="G130" s="58"/>
      <c r="H130" s="177"/>
      <c r="I130" s="59">
        <v>7.0000000000000007E-2</v>
      </c>
      <c r="J130" s="59"/>
      <c r="K130" s="177">
        <f t="shared" si="45"/>
        <v>0</v>
      </c>
      <c r="L130" s="178">
        <v>0.20499999999999999</v>
      </c>
      <c r="M130" s="177"/>
      <c r="N130" s="177"/>
      <c r="O130" s="177">
        <f t="shared" si="46"/>
        <v>0</v>
      </c>
      <c r="P130" s="177">
        <f t="shared" si="47"/>
        <v>0</v>
      </c>
      <c r="Q130" s="179">
        <v>4.5499999999999999E-2</v>
      </c>
      <c r="R130" s="180">
        <f t="shared" si="42"/>
        <v>0</v>
      </c>
      <c r="S130" s="180">
        <f t="shared" si="48"/>
        <v>0</v>
      </c>
      <c r="T130" s="181">
        <f t="shared" si="53"/>
        <v>0</v>
      </c>
      <c r="U130" s="210">
        <v>24</v>
      </c>
      <c r="V130" s="182"/>
      <c r="W130" s="182"/>
      <c r="X130" s="182"/>
      <c r="Y130" s="182"/>
      <c r="Z130" s="183">
        <v>48.510000000000005</v>
      </c>
      <c r="AA130" s="191">
        <v>86.625</v>
      </c>
      <c r="AB130" s="176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21.95" customHeight="1">
      <c r="A131" s="11">
        <v>9004</v>
      </c>
      <c r="B131" s="18" t="s">
        <v>28</v>
      </c>
      <c r="C131" s="57"/>
      <c r="D131" s="164">
        <v>14.994</v>
      </c>
      <c r="E131" s="177">
        <f t="shared" si="52"/>
        <v>0</v>
      </c>
      <c r="F131" s="177">
        <f t="shared" si="44"/>
        <v>0</v>
      </c>
      <c r="G131" s="58"/>
      <c r="H131" s="177"/>
      <c r="I131" s="59">
        <v>7.0000000000000007E-2</v>
      </c>
      <c r="J131" s="59"/>
      <c r="K131" s="177">
        <f t="shared" si="45"/>
        <v>0</v>
      </c>
      <c r="L131" s="178">
        <v>0.20499999999999999</v>
      </c>
      <c r="M131" s="177"/>
      <c r="N131" s="177"/>
      <c r="O131" s="177">
        <f t="shared" si="46"/>
        <v>0</v>
      </c>
      <c r="P131" s="177">
        <f t="shared" si="47"/>
        <v>0</v>
      </c>
      <c r="Q131" s="179">
        <v>4.5499999999999999E-2</v>
      </c>
      <c r="R131" s="180">
        <f t="shared" si="42"/>
        <v>0</v>
      </c>
      <c r="S131" s="180">
        <f t="shared" si="48"/>
        <v>0</v>
      </c>
      <c r="T131" s="181">
        <f t="shared" si="53"/>
        <v>0</v>
      </c>
      <c r="U131" s="210">
        <v>24</v>
      </c>
      <c r="V131" s="182"/>
      <c r="W131" s="182"/>
      <c r="X131" s="182"/>
      <c r="Y131" s="182"/>
      <c r="Z131" s="183">
        <v>48.510000000000005</v>
      </c>
      <c r="AA131" s="191">
        <v>86.625</v>
      </c>
      <c r="AB131" s="176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21.95" customHeight="1">
      <c r="A132" s="11">
        <v>9007</v>
      </c>
      <c r="B132" s="18" t="s">
        <v>215</v>
      </c>
      <c r="C132" s="57"/>
      <c r="D132" s="164">
        <v>16.75</v>
      </c>
      <c r="E132" s="177">
        <f t="shared" si="52"/>
        <v>0</v>
      </c>
      <c r="F132" s="177">
        <f t="shared" si="44"/>
        <v>0</v>
      </c>
      <c r="G132" s="58"/>
      <c r="H132" s="177"/>
      <c r="I132" s="59">
        <v>7.0000000000000007E-2</v>
      </c>
      <c r="J132" s="59"/>
      <c r="K132" s="177">
        <f t="shared" si="45"/>
        <v>0</v>
      </c>
      <c r="L132" s="178">
        <v>0.20499999999999999</v>
      </c>
      <c r="M132" s="177"/>
      <c r="N132" s="177"/>
      <c r="O132" s="177">
        <f t="shared" si="46"/>
        <v>0</v>
      </c>
      <c r="P132" s="177">
        <f t="shared" si="47"/>
        <v>0</v>
      </c>
      <c r="Q132" s="185">
        <v>0.14299999999999999</v>
      </c>
      <c r="R132" s="180">
        <f t="shared" si="42"/>
        <v>0</v>
      </c>
      <c r="S132" s="180">
        <f t="shared" si="48"/>
        <v>0</v>
      </c>
      <c r="T132" s="181">
        <f t="shared" si="53"/>
        <v>0</v>
      </c>
      <c r="U132" s="210">
        <v>12</v>
      </c>
      <c r="V132" s="182"/>
      <c r="W132" s="182"/>
      <c r="X132" s="182"/>
      <c r="Y132" s="182"/>
      <c r="Z132" s="183">
        <v>51.975000000000001</v>
      </c>
      <c r="AA132" s="191">
        <v>90.09</v>
      </c>
      <c r="AB132" s="176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21.95" customHeight="1">
      <c r="A133" s="11">
        <v>9005</v>
      </c>
      <c r="B133" s="18" t="s">
        <v>216</v>
      </c>
      <c r="C133" s="57"/>
      <c r="D133" s="164">
        <v>24.83</v>
      </c>
      <c r="E133" s="177">
        <f t="shared" si="52"/>
        <v>0</v>
      </c>
      <c r="F133" s="177">
        <f t="shared" si="44"/>
        <v>0</v>
      </c>
      <c r="G133" s="58"/>
      <c r="H133" s="177"/>
      <c r="I133" s="59">
        <v>7.0000000000000007E-2</v>
      </c>
      <c r="J133" s="59"/>
      <c r="K133" s="177">
        <f t="shared" si="45"/>
        <v>0</v>
      </c>
      <c r="L133" s="178">
        <v>0.20499999999999999</v>
      </c>
      <c r="M133" s="177"/>
      <c r="N133" s="177"/>
      <c r="O133" s="177">
        <f t="shared" si="46"/>
        <v>0</v>
      </c>
      <c r="P133" s="177">
        <f t="shared" si="47"/>
        <v>0</v>
      </c>
      <c r="Q133" s="185">
        <v>0.14299999999999999</v>
      </c>
      <c r="R133" s="180">
        <f t="shared" si="42"/>
        <v>0</v>
      </c>
      <c r="S133" s="180">
        <f t="shared" si="48"/>
        <v>0</v>
      </c>
      <c r="T133" s="181">
        <f t="shared" si="53"/>
        <v>0</v>
      </c>
      <c r="U133" s="210">
        <v>12</v>
      </c>
      <c r="V133" s="182"/>
      <c r="W133" s="182"/>
      <c r="X133" s="182"/>
      <c r="Y133" s="182"/>
      <c r="Z133" s="183">
        <v>75.075000000000003</v>
      </c>
      <c r="AA133" s="191">
        <v>127.05</v>
      </c>
      <c r="AB133" s="176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21.95" customHeight="1">
      <c r="A134" s="11">
        <v>9006</v>
      </c>
      <c r="B134" s="18" t="s">
        <v>29</v>
      </c>
      <c r="C134" s="57"/>
      <c r="D134" s="164">
        <v>14.994</v>
      </c>
      <c r="E134" s="177">
        <f t="shared" si="52"/>
        <v>0</v>
      </c>
      <c r="F134" s="177">
        <f t="shared" si="44"/>
        <v>0</v>
      </c>
      <c r="G134" s="58"/>
      <c r="H134" s="177"/>
      <c r="I134" s="59">
        <v>7.0000000000000007E-2</v>
      </c>
      <c r="J134" s="59"/>
      <c r="K134" s="177">
        <f t="shared" si="45"/>
        <v>0</v>
      </c>
      <c r="L134" s="178">
        <v>0.20499999999999999</v>
      </c>
      <c r="M134" s="177"/>
      <c r="N134" s="177"/>
      <c r="O134" s="177">
        <f t="shared" si="46"/>
        <v>0</v>
      </c>
      <c r="P134" s="177">
        <f t="shared" si="47"/>
        <v>0</v>
      </c>
      <c r="Q134" s="185">
        <v>0.14299999999999999</v>
      </c>
      <c r="R134" s="180">
        <f t="shared" si="42"/>
        <v>0</v>
      </c>
      <c r="S134" s="180">
        <f t="shared" si="48"/>
        <v>0</v>
      </c>
      <c r="T134" s="181">
        <f t="shared" si="53"/>
        <v>0</v>
      </c>
      <c r="U134" s="210">
        <v>24</v>
      </c>
      <c r="V134" s="182"/>
      <c r="W134" s="182"/>
      <c r="X134" s="182"/>
      <c r="Y134" s="182"/>
      <c r="Z134" s="183">
        <v>48.510000000000005</v>
      </c>
      <c r="AA134" s="191">
        <v>86.625</v>
      </c>
      <c r="AB134" s="176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21.95" customHeight="1">
      <c r="A135" s="49" t="s">
        <v>6</v>
      </c>
      <c r="B135" s="63" t="s">
        <v>30</v>
      </c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176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21.95" customHeight="1">
      <c r="A136" s="11">
        <v>9008</v>
      </c>
      <c r="B136" s="18" t="s">
        <v>115</v>
      </c>
      <c r="C136" s="52"/>
      <c r="D136" s="164">
        <v>50.4</v>
      </c>
      <c r="E136" s="177">
        <f>D136*C136</f>
        <v>0</v>
      </c>
      <c r="F136" s="177">
        <f t="shared" si="44"/>
        <v>0</v>
      </c>
      <c r="G136" s="58"/>
      <c r="H136" s="177"/>
      <c r="I136" s="59">
        <v>7.0000000000000007E-2</v>
      </c>
      <c r="J136" s="59"/>
      <c r="K136" s="177">
        <f t="shared" si="45"/>
        <v>0</v>
      </c>
      <c r="L136" s="178">
        <v>0.20499999999999999</v>
      </c>
      <c r="M136" s="177"/>
      <c r="N136" s="177"/>
      <c r="O136" s="177">
        <f t="shared" si="46"/>
        <v>0</v>
      </c>
      <c r="P136" s="177">
        <f t="shared" si="47"/>
        <v>0</v>
      </c>
      <c r="Q136" s="179">
        <v>4.5499999999999999E-2</v>
      </c>
      <c r="R136" s="180">
        <f t="shared" si="42"/>
        <v>0</v>
      </c>
      <c r="S136" s="180">
        <f t="shared" si="48"/>
        <v>0</v>
      </c>
      <c r="T136" s="181">
        <f>C136/U136</f>
        <v>0</v>
      </c>
      <c r="U136" s="210">
        <v>12</v>
      </c>
      <c r="V136" s="182"/>
      <c r="W136" s="211"/>
      <c r="X136" s="182"/>
      <c r="Y136" s="211"/>
      <c r="Z136" s="183">
        <v>103.95</v>
      </c>
      <c r="AA136" s="184" t="s">
        <v>217</v>
      </c>
      <c r="AB136" s="176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21.95" customHeight="1">
      <c r="A137" s="11">
        <v>9009</v>
      </c>
      <c r="B137" s="18" t="s">
        <v>116</v>
      </c>
      <c r="C137" s="52"/>
      <c r="D137" s="164">
        <v>155.5</v>
      </c>
      <c r="E137" s="177">
        <f t="shared" si="52"/>
        <v>0</v>
      </c>
      <c r="F137" s="177">
        <f t="shared" si="44"/>
        <v>0</v>
      </c>
      <c r="G137" s="58"/>
      <c r="H137" s="177"/>
      <c r="I137" s="59">
        <v>7.0000000000000007E-2</v>
      </c>
      <c r="J137" s="59"/>
      <c r="K137" s="177">
        <f t="shared" si="45"/>
        <v>0</v>
      </c>
      <c r="L137" s="178">
        <v>0.20499999999999999</v>
      </c>
      <c r="M137" s="177"/>
      <c r="N137" s="177"/>
      <c r="O137" s="177">
        <f t="shared" si="46"/>
        <v>0</v>
      </c>
      <c r="P137" s="177">
        <f t="shared" si="47"/>
        <v>0</v>
      </c>
      <c r="Q137" s="185">
        <v>0.14299999999999999</v>
      </c>
      <c r="R137" s="180">
        <f t="shared" si="42"/>
        <v>0</v>
      </c>
      <c r="S137" s="180">
        <f t="shared" si="48"/>
        <v>0</v>
      </c>
      <c r="T137" s="181">
        <f>C137/U137</f>
        <v>0</v>
      </c>
      <c r="U137" s="210">
        <v>12</v>
      </c>
      <c r="V137" s="182"/>
      <c r="W137" s="182"/>
      <c r="X137" s="182"/>
      <c r="Y137" s="182"/>
      <c r="Z137" s="183">
        <v>460.95</v>
      </c>
      <c r="AA137" s="184" t="s">
        <v>217</v>
      </c>
      <c r="AB137" s="176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21.95" customHeight="1">
      <c r="A138" s="49" t="s">
        <v>6</v>
      </c>
      <c r="B138" s="63" t="s">
        <v>31</v>
      </c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176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21.95" customHeight="1">
      <c r="A139" s="248" t="s">
        <v>32</v>
      </c>
      <c r="B139" s="249"/>
      <c r="C139" s="39"/>
      <c r="D139" s="39"/>
      <c r="E139" s="39"/>
      <c r="F139" s="39"/>
      <c r="G139" s="39"/>
      <c r="H139" s="39"/>
      <c r="I139" s="39"/>
      <c r="J139" s="39"/>
      <c r="K139" s="39"/>
      <c r="L139" s="3"/>
      <c r="M139" s="3"/>
      <c r="N139" s="3"/>
      <c r="O139" s="3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176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21.95" customHeight="1">
      <c r="A140" s="11">
        <v>1009</v>
      </c>
      <c r="B140" s="38" t="s">
        <v>33</v>
      </c>
      <c r="C140" s="53"/>
      <c r="D140" s="165">
        <v>14.91</v>
      </c>
      <c r="E140" s="177">
        <f t="shared" si="52"/>
        <v>0</v>
      </c>
      <c r="F140" s="177">
        <f t="shared" si="44"/>
        <v>0</v>
      </c>
      <c r="G140" s="58"/>
      <c r="H140" s="177"/>
      <c r="I140" s="59">
        <v>7.0000000000000007E-2</v>
      </c>
      <c r="J140" s="59"/>
      <c r="K140" s="177">
        <f t="shared" si="45"/>
        <v>0</v>
      </c>
      <c r="L140" s="178">
        <v>0.20499999999999999</v>
      </c>
      <c r="M140" s="177"/>
      <c r="N140" s="177"/>
      <c r="O140" s="177">
        <f t="shared" si="46"/>
        <v>0</v>
      </c>
      <c r="P140" s="177">
        <f t="shared" si="47"/>
        <v>0</v>
      </c>
      <c r="Q140" s="185">
        <v>0.14299999999999999</v>
      </c>
      <c r="R140" s="180">
        <f t="shared" si="42"/>
        <v>0</v>
      </c>
      <c r="S140" s="180">
        <f t="shared" si="48"/>
        <v>0</v>
      </c>
      <c r="T140" s="181">
        <f>C140/U140</f>
        <v>0</v>
      </c>
      <c r="U140" s="212">
        <v>12</v>
      </c>
      <c r="V140" s="182"/>
      <c r="W140" s="182"/>
      <c r="X140" s="182"/>
      <c r="Y140" s="182"/>
      <c r="Z140" s="183">
        <v>27.3</v>
      </c>
      <c r="AA140" s="184" t="s">
        <v>217</v>
      </c>
      <c r="AB140" s="176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21.95" customHeight="1">
      <c r="A141" s="11">
        <v>1011</v>
      </c>
      <c r="B141" s="38" t="s">
        <v>34</v>
      </c>
      <c r="C141" s="53"/>
      <c r="D141" s="165">
        <v>14.91</v>
      </c>
      <c r="E141" s="177">
        <f t="shared" si="52"/>
        <v>0</v>
      </c>
      <c r="F141" s="177">
        <f t="shared" si="44"/>
        <v>0</v>
      </c>
      <c r="G141" s="58"/>
      <c r="H141" s="177"/>
      <c r="I141" s="59">
        <v>7.0000000000000007E-2</v>
      </c>
      <c r="J141" s="59"/>
      <c r="K141" s="177">
        <f t="shared" si="45"/>
        <v>0</v>
      </c>
      <c r="L141" s="178">
        <v>0.20499999999999999</v>
      </c>
      <c r="M141" s="177"/>
      <c r="N141" s="177"/>
      <c r="O141" s="177">
        <f t="shared" si="46"/>
        <v>0</v>
      </c>
      <c r="P141" s="177">
        <f t="shared" si="47"/>
        <v>0</v>
      </c>
      <c r="Q141" s="185">
        <v>0.14299999999999999</v>
      </c>
      <c r="R141" s="180">
        <f t="shared" si="42"/>
        <v>0</v>
      </c>
      <c r="S141" s="180">
        <f t="shared" si="48"/>
        <v>0</v>
      </c>
      <c r="T141" s="181">
        <f t="shared" ref="T141:T148" si="57">C141/U141</f>
        <v>0</v>
      </c>
      <c r="U141" s="213">
        <v>12</v>
      </c>
      <c r="V141" s="182"/>
      <c r="W141" s="182"/>
      <c r="X141" s="182"/>
      <c r="Y141" s="182"/>
      <c r="Z141" s="183">
        <v>27.3</v>
      </c>
      <c r="AA141" s="184" t="s">
        <v>217</v>
      </c>
      <c r="AB141" s="176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21.95" customHeight="1">
      <c r="A142" s="11">
        <v>1012</v>
      </c>
      <c r="B142" s="38" t="s">
        <v>35</v>
      </c>
      <c r="C142" s="53"/>
      <c r="D142" s="165">
        <v>14.91</v>
      </c>
      <c r="E142" s="177">
        <f t="shared" si="52"/>
        <v>0</v>
      </c>
      <c r="F142" s="177">
        <f t="shared" si="44"/>
        <v>0</v>
      </c>
      <c r="G142" s="58"/>
      <c r="H142" s="177"/>
      <c r="I142" s="59">
        <v>7.0000000000000007E-2</v>
      </c>
      <c r="J142" s="59"/>
      <c r="K142" s="177">
        <f t="shared" si="45"/>
        <v>0</v>
      </c>
      <c r="L142" s="178">
        <v>0.20499999999999999</v>
      </c>
      <c r="M142" s="177"/>
      <c r="N142" s="177"/>
      <c r="O142" s="177">
        <f t="shared" si="46"/>
        <v>0</v>
      </c>
      <c r="P142" s="177">
        <f t="shared" si="47"/>
        <v>0</v>
      </c>
      <c r="Q142" s="185">
        <v>0.14299999999999999</v>
      </c>
      <c r="R142" s="180">
        <f t="shared" si="42"/>
        <v>0</v>
      </c>
      <c r="S142" s="180">
        <f t="shared" si="48"/>
        <v>0</v>
      </c>
      <c r="T142" s="181">
        <f t="shared" si="57"/>
        <v>0</v>
      </c>
      <c r="U142" s="213">
        <v>12</v>
      </c>
      <c r="V142" s="182"/>
      <c r="W142" s="182"/>
      <c r="X142" s="182"/>
      <c r="Y142" s="182"/>
      <c r="Z142" s="183">
        <v>27.3</v>
      </c>
      <c r="AA142" s="184" t="s">
        <v>217</v>
      </c>
      <c r="AB142" s="176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21.95" customHeight="1">
      <c r="A143" s="11">
        <v>1013</v>
      </c>
      <c r="B143" s="38" t="s">
        <v>36</v>
      </c>
      <c r="C143" s="53"/>
      <c r="D143" s="165">
        <v>14.91</v>
      </c>
      <c r="E143" s="177">
        <f t="shared" si="52"/>
        <v>0</v>
      </c>
      <c r="F143" s="177">
        <f t="shared" si="44"/>
        <v>0</v>
      </c>
      <c r="G143" s="58"/>
      <c r="H143" s="177"/>
      <c r="I143" s="59">
        <v>7.0000000000000007E-2</v>
      </c>
      <c r="J143" s="59"/>
      <c r="K143" s="177">
        <f t="shared" si="45"/>
        <v>0</v>
      </c>
      <c r="L143" s="178">
        <v>0.20499999999999999</v>
      </c>
      <c r="M143" s="177"/>
      <c r="N143" s="177"/>
      <c r="O143" s="177">
        <f t="shared" si="46"/>
        <v>0</v>
      </c>
      <c r="P143" s="177">
        <f t="shared" si="47"/>
        <v>0</v>
      </c>
      <c r="Q143" s="185">
        <v>0.14299999999999999</v>
      </c>
      <c r="R143" s="180">
        <f t="shared" si="42"/>
        <v>0</v>
      </c>
      <c r="S143" s="180">
        <f t="shared" si="48"/>
        <v>0</v>
      </c>
      <c r="T143" s="181">
        <f t="shared" si="57"/>
        <v>0</v>
      </c>
      <c r="U143" s="213">
        <v>12</v>
      </c>
      <c r="V143" s="182"/>
      <c r="W143" s="182"/>
      <c r="X143" s="182"/>
      <c r="Y143" s="182"/>
      <c r="Z143" s="183">
        <v>27.3</v>
      </c>
      <c r="AA143" s="184" t="s">
        <v>217</v>
      </c>
      <c r="AB143" s="176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21.95" customHeight="1">
      <c r="A144" s="11">
        <v>1014</v>
      </c>
      <c r="B144" s="38" t="s">
        <v>37</v>
      </c>
      <c r="C144" s="53"/>
      <c r="D144" s="165">
        <v>14.91</v>
      </c>
      <c r="E144" s="177">
        <f t="shared" si="52"/>
        <v>0</v>
      </c>
      <c r="F144" s="177">
        <f t="shared" si="44"/>
        <v>0</v>
      </c>
      <c r="G144" s="58"/>
      <c r="H144" s="177"/>
      <c r="I144" s="59">
        <v>7.0000000000000007E-2</v>
      </c>
      <c r="J144" s="59"/>
      <c r="K144" s="177">
        <f t="shared" si="45"/>
        <v>0</v>
      </c>
      <c r="L144" s="178">
        <v>0.20499999999999999</v>
      </c>
      <c r="M144" s="177"/>
      <c r="N144" s="177"/>
      <c r="O144" s="177">
        <f t="shared" si="46"/>
        <v>0</v>
      </c>
      <c r="P144" s="177">
        <f t="shared" si="47"/>
        <v>0</v>
      </c>
      <c r="Q144" s="185">
        <v>0.14299999999999999</v>
      </c>
      <c r="R144" s="180">
        <f t="shared" si="42"/>
        <v>0</v>
      </c>
      <c r="S144" s="180">
        <f t="shared" si="48"/>
        <v>0</v>
      </c>
      <c r="T144" s="181">
        <f t="shared" si="57"/>
        <v>0</v>
      </c>
      <c r="U144" s="213">
        <v>12</v>
      </c>
      <c r="V144" s="182"/>
      <c r="W144" s="182"/>
      <c r="X144" s="182"/>
      <c r="Y144" s="182"/>
      <c r="Z144" s="183">
        <v>27.3</v>
      </c>
      <c r="AA144" s="184" t="s">
        <v>217</v>
      </c>
      <c r="AB144" s="176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21.95" customHeight="1">
      <c r="A145" s="11">
        <v>1015</v>
      </c>
      <c r="B145" s="38" t="s">
        <v>38</v>
      </c>
      <c r="C145" s="53"/>
      <c r="D145" s="165">
        <v>14.91</v>
      </c>
      <c r="E145" s="177">
        <f t="shared" si="52"/>
        <v>0</v>
      </c>
      <c r="F145" s="177">
        <f t="shared" si="44"/>
        <v>0</v>
      </c>
      <c r="G145" s="58"/>
      <c r="H145" s="177"/>
      <c r="I145" s="59">
        <v>7.0000000000000007E-2</v>
      </c>
      <c r="J145" s="59"/>
      <c r="K145" s="177">
        <f t="shared" si="45"/>
        <v>0</v>
      </c>
      <c r="L145" s="178">
        <v>0.20499999999999999</v>
      </c>
      <c r="M145" s="177"/>
      <c r="N145" s="177"/>
      <c r="O145" s="177">
        <f t="shared" si="46"/>
        <v>0</v>
      </c>
      <c r="P145" s="177">
        <f t="shared" si="47"/>
        <v>0</v>
      </c>
      <c r="Q145" s="185">
        <v>0.14299999999999999</v>
      </c>
      <c r="R145" s="180">
        <f t="shared" si="42"/>
        <v>0</v>
      </c>
      <c r="S145" s="180">
        <f t="shared" si="48"/>
        <v>0</v>
      </c>
      <c r="T145" s="181">
        <f t="shared" si="57"/>
        <v>0</v>
      </c>
      <c r="U145" s="213">
        <v>12</v>
      </c>
      <c r="V145" s="182"/>
      <c r="W145" s="182"/>
      <c r="X145" s="182"/>
      <c r="Y145" s="182"/>
      <c r="Z145" s="183">
        <v>27.3</v>
      </c>
      <c r="AA145" s="184" t="s">
        <v>217</v>
      </c>
      <c r="AB145" s="176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21.95" customHeight="1">
      <c r="A146" s="11">
        <v>1016</v>
      </c>
      <c r="B146" s="38" t="s">
        <v>39</v>
      </c>
      <c r="C146" s="53"/>
      <c r="D146" s="165">
        <v>14.91</v>
      </c>
      <c r="E146" s="177">
        <f t="shared" si="52"/>
        <v>0</v>
      </c>
      <c r="F146" s="177">
        <f t="shared" si="44"/>
        <v>0</v>
      </c>
      <c r="G146" s="58"/>
      <c r="H146" s="177"/>
      <c r="I146" s="59">
        <v>7.0000000000000007E-2</v>
      </c>
      <c r="J146" s="59"/>
      <c r="K146" s="177">
        <f t="shared" si="45"/>
        <v>0</v>
      </c>
      <c r="L146" s="178">
        <v>0.20499999999999999</v>
      </c>
      <c r="M146" s="177"/>
      <c r="N146" s="177"/>
      <c r="O146" s="177">
        <f t="shared" si="46"/>
        <v>0</v>
      </c>
      <c r="P146" s="177">
        <f t="shared" si="47"/>
        <v>0</v>
      </c>
      <c r="Q146" s="185">
        <v>0.14299999999999999</v>
      </c>
      <c r="R146" s="180">
        <f t="shared" si="42"/>
        <v>0</v>
      </c>
      <c r="S146" s="180">
        <f t="shared" si="48"/>
        <v>0</v>
      </c>
      <c r="T146" s="181">
        <f t="shared" si="57"/>
        <v>0</v>
      </c>
      <c r="U146" s="213">
        <v>12</v>
      </c>
      <c r="V146" s="182"/>
      <c r="W146" s="182"/>
      <c r="X146" s="182"/>
      <c r="Y146" s="182"/>
      <c r="Z146" s="183">
        <v>27.3</v>
      </c>
      <c r="AA146" s="184" t="s">
        <v>217</v>
      </c>
      <c r="AB146" s="176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21.95" customHeight="1">
      <c r="A147" s="11">
        <v>1017</v>
      </c>
      <c r="B147" s="38" t="s">
        <v>40</v>
      </c>
      <c r="C147" s="53"/>
      <c r="D147" s="165">
        <v>14.91</v>
      </c>
      <c r="E147" s="177">
        <f t="shared" si="52"/>
        <v>0</v>
      </c>
      <c r="F147" s="177">
        <f t="shared" si="44"/>
        <v>0</v>
      </c>
      <c r="G147" s="58"/>
      <c r="H147" s="177"/>
      <c r="I147" s="59">
        <v>7.0000000000000007E-2</v>
      </c>
      <c r="J147" s="59"/>
      <c r="K147" s="177">
        <f t="shared" si="45"/>
        <v>0</v>
      </c>
      <c r="L147" s="178">
        <v>0.20499999999999999</v>
      </c>
      <c r="M147" s="177"/>
      <c r="N147" s="177"/>
      <c r="O147" s="177">
        <f t="shared" si="46"/>
        <v>0</v>
      </c>
      <c r="P147" s="177">
        <f t="shared" si="47"/>
        <v>0</v>
      </c>
      <c r="Q147" s="185">
        <v>0.14299999999999999</v>
      </c>
      <c r="R147" s="180">
        <f t="shared" si="42"/>
        <v>0</v>
      </c>
      <c r="S147" s="180">
        <f t="shared" si="48"/>
        <v>0</v>
      </c>
      <c r="T147" s="181">
        <f t="shared" si="57"/>
        <v>0</v>
      </c>
      <c r="U147" s="213">
        <v>12</v>
      </c>
      <c r="V147" s="182"/>
      <c r="W147" s="182"/>
      <c r="X147" s="182"/>
      <c r="Y147" s="182"/>
      <c r="Z147" s="183">
        <v>27.3</v>
      </c>
      <c r="AA147" s="184" t="s">
        <v>217</v>
      </c>
      <c r="AB147" s="176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21.95" customHeight="1">
      <c r="A148" s="11">
        <v>1018</v>
      </c>
      <c r="B148" s="38" t="s">
        <v>41</v>
      </c>
      <c r="C148" s="53"/>
      <c r="D148" s="165">
        <v>14.91</v>
      </c>
      <c r="E148" s="177">
        <f t="shared" si="52"/>
        <v>0</v>
      </c>
      <c r="F148" s="177">
        <f t="shared" si="44"/>
        <v>0</v>
      </c>
      <c r="G148" s="58"/>
      <c r="H148" s="177"/>
      <c r="I148" s="59">
        <v>7.0000000000000007E-2</v>
      </c>
      <c r="J148" s="59"/>
      <c r="K148" s="177">
        <f t="shared" si="45"/>
        <v>0</v>
      </c>
      <c r="L148" s="178">
        <v>0.20499999999999999</v>
      </c>
      <c r="M148" s="177"/>
      <c r="N148" s="177"/>
      <c r="O148" s="177">
        <f t="shared" si="46"/>
        <v>0</v>
      </c>
      <c r="P148" s="177">
        <f t="shared" si="47"/>
        <v>0</v>
      </c>
      <c r="Q148" s="185">
        <v>0.14299999999999999</v>
      </c>
      <c r="R148" s="180">
        <f t="shared" si="42"/>
        <v>0</v>
      </c>
      <c r="S148" s="180">
        <f t="shared" si="48"/>
        <v>0</v>
      </c>
      <c r="T148" s="181">
        <f t="shared" si="57"/>
        <v>0</v>
      </c>
      <c r="U148" s="213">
        <v>12</v>
      </c>
      <c r="V148" s="182"/>
      <c r="W148" s="182"/>
      <c r="X148" s="182"/>
      <c r="Y148" s="182"/>
      <c r="Z148" s="183">
        <v>27.3</v>
      </c>
      <c r="AA148" s="184" t="s">
        <v>217</v>
      </c>
      <c r="AB148" s="176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21.95" customHeight="1">
      <c r="A149" s="248" t="s">
        <v>42</v>
      </c>
      <c r="B149" s="249"/>
      <c r="C149" s="39"/>
      <c r="D149" s="39"/>
      <c r="E149" s="39"/>
      <c r="F149" s="39"/>
      <c r="G149" s="39"/>
      <c r="H149" s="39"/>
      <c r="I149" s="39"/>
      <c r="J149" s="39"/>
      <c r="K149" s="39"/>
      <c r="L149" s="3"/>
      <c r="M149" s="3"/>
      <c r="N149" s="3"/>
      <c r="O149" s="3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176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21.95" customHeight="1">
      <c r="A150" s="11">
        <v>1019</v>
      </c>
      <c r="B150" s="38" t="s">
        <v>43</v>
      </c>
      <c r="C150" s="53"/>
      <c r="D150" s="165">
        <v>14.91</v>
      </c>
      <c r="E150" s="177">
        <f>D150*C150</f>
        <v>0</v>
      </c>
      <c r="F150" s="177">
        <f t="shared" si="44"/>
        <v>0</v>
      </c>
      <c r="G150" s="58"/>
      <c r="H150" s="177"/>
      <c r="I150" s="59">
        <v>7.0000000000000007E-2</v>
      </c>
      <c r="J150" s="59"/>
      <c r="K150" s="177">
        <f t="shared" si="45"/>
        <v>0</v>
      </c>
      <c r="L150" s="178">
        <v>0.20499999999999999</v>
      </c>
      <c r="M150" s="177"/>
      <c r="N150" s="177"/>
      <c r="O150" s="177">
        <f t="shared" si="46"/>
        <v>0</v>
      </c>
      <c r="P150" s="177">
        <f t="shared" si="47"/>
        <v>0</v>
      </c>
      <c r="Q150" s="185">
        <v>0.14299999999999999</v>
      </c>
      <c r="R150" s="180">
        <f t="shared" si="42"/>
        <v>0</v>
      </c>
      <c r="S150" s="180">
        <f t="shared" si="48"/>
        <v>0</v>
      </c>
      <c r="T150" s="181">
        <f>C150/U150</f>
        <v>0</v>
      </c>
      <c r="U150" s="213">
        <v>12</v>
      </c>
      <c r="V150" s="182"/>
      <c r="W150" s="182"/>
      <c r="X150" s="182"/>
      <c r="Y150" s="182"/>
      <c r="Z150" s="183">
        <v>27.3</v>
      </c>
      <c r="AA150" s="184" t="s">
        <v>217</v>
      </c>
      <c r="AB150" s="176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21.95" customHeight="1">
      <c r="A151" s="11">
        <v>1020</v>
      </c>
      <c r="B151" s="38" t="s">
        <v>44</v>
      </c>
      <c r="C151" s="53"/>
      <c r="D151" s="165">
        <v>14.91</v>
      </c>
      <c r="E151" s="177">
        <f t="shared" si="52"/>
        <v>0</v>
      </c>
      <c r="F151" s="177">
        <f t="shared" si="44"/>
        <v>0</v>
      </c>
      <c r="G151" s="58"/>
      <c r="H151" s="177"/>
      <c r="I151" s="59">
        <v>7.0000000000000007E-2</v>
      </c>
      <c r="J151" s="59"/>
      <c r="K151" s="177">
        <f t="shared" si="45"/>
        <v>0</v>
      </c>
      <c r="L151" s="178">
        <v>0.20499999999999999</v>
      </c>
      <c r="M151" s="177"/>
      <c r="N151" s="177"/>
      <c r="O151" s="177">
        <f t="shared" si="46"/>
        <v>0</v>
      </c>
      <c r="P151" s="177">
        <f t="shared" si="47"/>
        <v>0</v>
      </c>
      <c r="Q151" s="185">
        <v>0.14299999999999999</v>
      </c>
      <c r="R151" s="180">
        <f t="shared" si="42"/>
        <v>0</v>
      </c>
      <c r="S151" s="180">
        <f t="shared" si="48"/>
        <v>0</v>
      </c>
      <c r="T151" s="181">
        <f t="shared" ref="T151:T154" si="58">C151/U151</f>
        <v>0</v>
      </c>
      <c r="U151" s="213">
        <v>12</v>
      </c>
      <c r="V151" s="182"/>
      <c r="W151" s="182"/>
      <c r="X151" s="182"/>
      <c r="Y151" s="182"/>
      <c r="Z151" s="183">
        <v>27.3</v>
      </c>
      <c r="AA151" s="184" t="s">
        <v>217</v>
      </c>
      <c r="AB151" s="176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21.95" customHeight="1">
      <c r="A152" s="11">
        <v>1021</v>
      </c>
      <c r="B152" s="38" t="s">
        <v>45</v>
      </c>
      <c r="C152" s="53"/>
      <c r="D152" s="165">
        <v>14.91</v>
      </c>
      <c r="E152" s="177">
        <f t="shared" si="52"/>
        <v>0</v>
      </c>
      <c r="F152" s="177">
        <f t="shared" si="44"/>
        <v>0</v>
      </c>
      <c r="G152" s="58"/>
      <c r="H152" s="177"/>
      <c r="I152" s="59">
        <v>7.0000000000000007E-2</v>
      </c>
      <c r="J152" s="59"/>
      <c r="K152" s="177">
        <f t="shared" si="45"/>
        <v>0</v>
      </c>
      <c r="L152" s="178">
        <v>0.20499999999999999</v>
      </c>
      <c r="M152" s="177"/>
      <c r="N152" s="177"/>
      <c r="O152" s="177">
        <f t="shared" si="46"/>
        <v>0</v>
      </c>
      <c r="P152" s="177">
        <f t="shared" si="47"/>
        <v>0</v>
      </c>
      <c r="Q152" s="185">
        <v>0.14299999999999999</v>
      </c>
      <c r="R152" s="180">
        <f t="shared" si="42"/>
        <v>0</v>
      </c>
      <c r="S152" s="180">
        <f t="shared" si="48"/>
        <v>0</v>
      </c>
      <c r="T152" s="181">
        <f t="shared" si="58"/>
        <v>0</v>
      </c>
      <c r="U152" s="213">
        <v>12</v>
      </c>
      <c r="V152" s="182"/>
      <c r="W152" s="182"/>
      <c r="X152" s="182"/>
      <c r="Y152" s="182"/>
      <c r="Z152" s="183">
        <v>27.3</v>
      </c>
      <c r="AA152" s="184" t="s">
        <v>217</v>
      </c>
      <c r="AB152" s="176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21.95" customHeight="1">
      <c r="A153" s="93">
        <v>1051</v>
      </c>
      <c r="B153" s="38" t="s">
        <v>242</v>
      </c>
      <c r="C153" s="53"/>
      <c r="D153" s="165">
        <v>14.91</v>
      </c>
      <c r="E153" s="177">
        <f t="shared" si="52"/>
        <v>0</v>
      </c>
      <c r="F153" s="177">
        <f t="shared" si="44"/>
        <v>0</v>
      </c>
      <c r="G153" s="58"/>
      <c r="H153" s="177"/>
      <c r="I153" s="59">
        <v>7.0000000000000007E-2</v>
      </c>
      <c r="J153" s="59"/>
      <c r="K153" s="177">
        <f t="shared" si="45"/>
        <v>0</v>
      </c>
      <c r="L153" s="178">
        <v>0.20499999999999999</v>
      </c>
      <c r="M153" s="177"/>
      <c r="N153" s="177"/>
      <c r="O153" s="177">
        <f t="shared" si="46"/>
        <v>0</v>
      </c>
      <c r="P153" s="177">
        <f t="shared" si="47"/>
        <v>0</v>
      </c>
      <c r="Q153" s="185">
        <v>0.14299999999999999</v>
      </c>
      <c r="R153" s="180">
        <f t="shared" si="42"/>
        <v>0</v>
      </c>
      <c r="S153" s="180">
        <f t="shared" si="48"/>
        <v>0</v>
      </c>
      <c r="T153" s="181">
        <f t="shared" si="58"/>
        <v>0</v>
      </c>
      <c r="U153" s="213">
        <v>12</v>
      </c>
      <c r="V153" s="182"/>
      <c r="W153" s="182"/>
      <c r="X153" s="182"/>
      <c r="Y153" s="182"/>
      <c r="Z153" s="183">
        <v>27.3</v>
      </c>
      <c r="AA153" s="184" t="s">
        <v>217</v>
      </c>
      <c r="AB153" s="176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21.95" customHeight="1">
      <c r="A154" s="93">
        <v>1060</v>
      </c>
      <c r="B154" s="38" t="s">
        <v>243</v>
      </c>
      <c r="C154" s="53"/>
      <c r="D154" s="165">
        <v>14.91</v>
      </c>
      <c r="E154" s="177">
        <f t="shared" si="52"/>
        <v>0</v>
      </c>
      <c r="F154" s="177">
        <f t="shared" si="44"/>
        <v>0</v>
      </c>
      <c r="G154" s="58"/>
      <c r="H154" s="177"/>
      <c r="I154" s="59">
        <v>7.0000000000000007E-2</v>
      </c>
      <c r="J154" s="59"/>
      <c r="K154" s="177">
        <f t="shared" si="45"/>
        <v>0</v>
      </c>
      <c r="L154" s="178">
        <v>0.20499999999999999</v>
      </c>
      <c r="M154" s="177"/>
      <c r="N154" s="177"/>
      <c r="O154" s="177">
        <f t="shared" si="46"/>
        <v>0</v>
      </c>
      <c r="P154" s="177">
        <f t="shared" si="47"/>
        <v>0</v>
      </c>
      <c r="Q154" s="185">
        <v>0.14299999999999999</v>
      </c>
      <c r="R154" s="180">
        <f t="shared" ref="R154:R217" si="59">E154*Q154</f>
        <v>0</v>
      </c>
      <c r="S154" s="180">
        <f t="shared" si="48"/>
        <v>0</v>
      </c>
      <c r="T154" s="181">
        <f t="shared" si="58"/>
        <v>0</v>
      </c>
      <c r="U154" s="213">
        <v>12</v>
      </c>
      <c r="V154" s="182"/>
      <c r="W154" s="182"/>
      <c r="X154" s="182"/>
      <c r="Y154" s="182"/>
      <c r="Z154" s="183">
        <v>27.3</v>
      </c>
      <c r="AA154" s="184" t="s">
        <v>217</v>
      </c>
      <c r="AB154" s="176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21.95" customHeight="1">
      <c r="A155" s="248" t="s">
        <v>46</v>
      </c>
      <c r="B155" s="249"/>
      <c r="C155" s="39"/>
      <c r="D155" s="39"/>
      <c r="E155" s="39"/>
      <c r="F155" s="39"/>
      <c r="G155" s="39"/>
      <c r="H155" s="39"/>
      <c r="I155" s="39"/>
      <c r="J155" s="39"/>
      <c r="K155" s="39"/>
      <c r="L155" s="3"/>
      <c r="M155" s="3"/>
      <c r="N155" s="3"/>
      <c r="O155" s="3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176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21.95" customHeight="1">
      <c r="A156" s="11">
        <v>1022</v>
      </c>
      <c r="B156" s="38" t="s">
        <v>244</v>
      </c>
      <c r="C156" s="53"/>
      <c r="D156" s="165">
        <v>14.91</v>
      </c>
      <c r="E156" s="177">
        <f t="shared" si="52"/>
        <v>0</v>
      </c>
      <c r="F156" s="177">
        <f t="shared" si="44"/>
        <v>0</v>
      </c>
      <c r="G156" s="58"/>
      <c r="H156" s="177"/>
      <c r="I156" s="59">
        <v>7.0000000000000007E-2</v>
      </c>
      <c r="J156" s="59"/>
      <c r="K156" s="177">
        <f t="shared" si="45"/>
        <v>0</v>
      </c>
      <c r="L156" s="178">
        <v>0.20499999999999999</v>
      </c>
      <c r="M156" s="177"/>
      <c r="N156" s="177"/>
      <c r="O156" s="177">
        <f t="shared" si="46"/>
        <v>0</v>
      </c>
      <c r="P156" s="177">
        <f t="shared" si="47"/>
        <v>0</v>
      </c>
      <c r="Q156" s="185">
        <v>0.14299999999999999</v>
      </c>
      <c r="R156" s="180">
        <f t="shared" si="59"/>
        <v>0</v>
      </c>
      <c r="S156" s="180">
        <f t="shared" si="48"/>
        <v>0</v>
      </c>
      <c r="T156" s="181">
        <f>C156/U156</f>
        <v>0</v>
      </c>
      <c r="U156" s="213">
        <v>12</v>
      </c>
      <c r="V156" s="182"/>
      <c r="W156" s="182"/>
      <c r="X156" s="182"/>
      <c r="Y156" s="182"/>
      <c r="Z156" s="183">
        <v>27.3</v>
      </c>
      <c r="AA156" s="184" t="s">
        <v>217</v>
      </c>
      <c r="AB156" s="176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21.95" customHeight="1">
      <c r="A157" s="248" t="s">
        <v>47</v>
      </c>
      <c r="B157" s="249"/>
      <c r="C157" s="39"/>
      <c r="D157" s="39"/>
      <c r="E157" s="39"/>
      <c r="F157" s="39"/>
      <c r="G157" s="39"/>
      <c r="H157" s="39"/>
      <c r="I157" s="39"/>
      <c r="J157" s="39"/>
      <c r="K157" s="39"/>
      <c r="L157" s="3"/>
      <c r="M157" s="3"/>
      <c r="N157" s="3"/>
      <c r="O157" s="3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176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21.95" customHeight="1">
      <c r="A158" s="11">
        <v>1023</v>
      </c>
      <c r="B158" s="38" t="s">
        <v>48</v>
      </c>
      <c r="C158" s="54"/>
      <c r="D158" s="165">
        <v>14.91</v>
      </c>
      <c r="E158" s="177">
        <f t="shared" si="52"/>
        <v>0</v>
      </c>
      <c r="F158" s="177">
        <f t="shared" si="44"/>
        <v>0</v>
      </c>
      <c r="G158" s="58"/>
      <c r="H158" s="177"/>
      <c r="I158" s="59">
        <v>7.0000000000000007E-2</v>
      </c>
      <c r="J158" s="59"/>
      <c r="K158" s="177">
        <f t="shared" si="45"/>
        <v>0</v>
      </c>
      <c r="L158" s="178">
        <v>0.20499999999999999</v>
      </c>
      <c r="M158" s="177"/>
      <c r="N158" s="177"/>
      <c r="O158" s="177">
        <f t="shared" si="46"/>
        <v>0</v>
      </c>
      <c r="P158" s="177">
        <f t="shared" si="47"/>
        <v>0</v>
      </c>
      <c r="Q158" s="185">
        <v>0.14299999999999999</v>
      </c>
      <c r="R158" s="180">
        <f t="shared" si="59"/>
        <v>0</v>
      </c>
      <c r="S158" s="180">
        <f t="shared" si="48"/>
        <v>0</v>
      </c>
      <c r="T158" s="181">
        <f>C158/U158</f>
        <v>0</v>
      </c>
      <c r="U158" s="213">
        <v>12</v>
      </c>
      <c r="V158" s="182"/>
      <c r="W158" s="182"/>
      <c r="X158" s="182"/>
      <c r="Y158" s="182"/>
      <c r="Z158" s="183">
        <v>27.3</v>
      </c>
      <c r="AA158" s="184" t="s">
        <v>217</v>
      </c>
      <c r="AB158" s="176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21.95" customHeight="1">
      <c r="A159" s="248" t="s">
        <v>49</v>
      </c>
      <c r="B159" s="249"/>
      <c r="C159" s="39"/>
      <c r="D159" s="39"/>
      <c r="E159" s="39"/>
      <c r="F159" s="39"/>
      <c r="G159" s="39"/>
      <c r="H159" s="39"/>
      <c r="I159" s="39"/>
      <c r="J159" s="39"/>
      <c r="K159" s="39"/>
      <c r="L159" s="3"/>
      <c r="M159" s="3"/>
      <c r="N159" s="3"/>
      <c r="O159" s="3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176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21.95" customHeight="1">
      <c r="A160" s="11">
        <v>1024</v>
      </c>
      <c r="B160" s="38" t="s">
        <v>50</v>
      </c>
      <c r="C160" s="53"/>
      <c r="D160" s="165">
        <v>14.91</v>
      </c>
      <c r="E160" s="177">
        <f t="shared" si="52"/>
        <v>0</v>
      </c>
      <c r="F160" s="177">
        <f t="shared" si="44"/>
        <v>0</v>
      </c>
      <c r="G160" s="58"/>
      <c r="H160" s="177"/>
      <c r="I160" s="59">
        <v>7.0000000000000007E-2</v>
      </c>
      <c r="J160" s="59"/>
      <c r="K160" s="177">
        <f t="shared" si="45"/>
        <v>0</v>
      </c>
      <c r="L160" s="178">
        <v>0.20499999999999999</v>
      </c>
      <c r="M160" s="177"/>
      <c r="N160" s="177"/>
      <c r="O160" s="177">
        <f t="shared" si="46"/>
        <v>0</v>
      </c>
      <c r="P160" s="177">
        <f t="shared" si="47"/>
        <v>0</v>
      </c>
      <c r="Q160" s="185">
        <v>0.14299999999999999</v>
      </c>
      <c r="R160" s="180">
        <f t="shared" si="59"/>
        <v>0</v>
      </c>
      <c r="S160" s="180">
        <f t="shared" si="48"/>
        <v>0</v>
      </c>
      <c r="T160" s="181">
        <f>C160/U160</f>
        <v>0</v>
      </c>
      <c r="U160" s="213">
        <v>12</v>
      </c>
      <c r="V160" s="182"/>
      <c r="W160" s="182"/>
      <c r="X160" s="182"/>
      <c r="Y160" s="182"/>
      <c r="Z160" s="183">
        <v>27.3</v>
      </c>
      <c r="AA160" s="184" t="s">
        <v>217</v>
      </c>
      <c r="AB160" s="176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21.95" customHeight="1">
      <c r="A161" s="11">
        <v>1025</v>
      </c>
      <c r="B161" s="38" t="s">
        <v>51</v>
      </c>
      <c r="C161" s="53"/>
      <c r="D161" s="165">
        <v>14.91</v>
      </c>
      <c r="E161" s="177">
        <f t="shared" si="52"/>
        <v>0</v>
      </c>
      <c r="F161" s="177">
        <f t="shared" si="44"/>
        <v>0</v>
      </c>
      <c r="G161" s="58"/>
      <c r="H161" s="177"/>
      <c r="I161" s="59">
        <v>7.0000000000000007E-2</v>
      </c>
      <c r="J161" s="59"/>
      <c r="K161" s="177">
        <f t="shared" si="45"/>
        <v>0</v>
      </c>
      <c r="L161" s="178">
        <v>0.20499999999999999</v>
      </c>
      <c r="M161" s="177"/>
      <c r="N161" s="177"/>
      <c r="O161" s="177">
        <f t="shared" si="46"/>
        <v>0</v>
      </c>
      <c r="P161" s="177">
        <f t="shared" si="47"/>
        <v>0</v>
      </c>
      <c r="Q161" s="185">
        <v>0.14299999999999999</v>
      </c>
      <c r="R161" s="180">
        <f t="shared" si="59"/>
        <v>0</v>
      </c>
      <c r="S161" s="180">
        <f t="shared" si="48"/>
        <v>0</v>
      </c>
      <c r="T161" s="181">
        <f t="shared" ref="T161:T164" si="60">C161/U161</f>
        <v>0</v>
      </c>
      <c r="U161" s="213">
        <v>12</v>
      </c>
      <c r="V161" s="182"/>
      <c r="W161" s="182"/>
      <c r="X161" s="182"/>
      <c r="Y161" s="182"/>
      <c r="Z161" s="183">
        <v>27.3</v>
      </c>
      <c r="AA161" s="184" t="s">
        <v>217</v>
      </c>
      <c r="AB161" s="176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21.95" customHeight="1">
      <c r="A162" s="11">
        <v>1026</v>
      </c>
      <c r="B162" s="38" t="s">
        <v>52</v>
      </c>
      <c r="C162" s="53"/>
      <c r="D162" s="165">
        <v>14.91</v>
      </c>
      <c r="E162" s="177">
        <f t="shared" ref="E162:E236" si="61">D162*C162</f>
        <v>0</v>
      </c>
      <c r="F162" s="177">
        <f t="shared" ref="F162:F236" si="62">E162+R162</f>
        <v>0</v>
      </c>
      <c r="G162" s="58"/>
      <c r="H162" s="177"/>
      <c r="I162" s="59">
        <v>7.0000000000000007E-2</v>
      </c>
      <c r="J162" s="59"/>
      <c r="K162" s="177">
        <f t="shared" ref="K162:K236" si="63">N162*J162</f>
        <v>0</v>
      </c>
      <c r="L162" s="178">
        <v>0.20499999999999999</v>
      </c>
      <c r="M162" s="177"/>
      <c r="N162" s="177"/>
      <c r="O162" s="177">
        <f t="shared" ref="O162:O236" si="64">(N162*L162-M162)+K162</f>
        <v>0</v>
      </c>
      <c r="P162" s="177">
        <f t="shared" ref="P162:P236" si="65">E162+O162</f>
        <v>0</v>
      </c>
      <c r="Q162" s="185">
        <v>0.14299999999999999</v>
      </c>
      <c r="R162" s="180">
        <f t="shared" si="59"/>
        <v>0</v>
      </c>
      <c r="S162" s="180">
        <f t="shared" ref="S162:S236" si="66">E162+R162+O162</f>
        <v>0</v>
      </c>
      <c r="T162" s="181">
        <f t="shared" si="60"/>
        <v>0</v>
      </c>
      <c r="U162" s="213">
        <v>12</v>
      </c>
      <c r="V162" s="182"/>
      <c r="W162" s="182"/>
      <c r="X162" s="182"/>
      <c r="Y162" s="182"/>
      <c r="Z162" s="183">
        <v>27.3</v>
      </c>
      <c r="AA162" s="184" t="s">
        <v>217</v>
      </c>
      <c r="AB162" s="176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21.95" customHeight="1">
      <c r="A163" s="11">
        <v>1027</v>
      </c>
      <c r="B163" s="38" t="s">
        <v>53</v>
      </c>
      <c r="C163" s="53"/>
      <c r="D163" s="165">
        <v>14.91</v>
      </c>
      <c r="E163" s="177">
        <f t="shared" si="61"/>
        <v>0</v>
      </c>
      <c r="F163" s="177">
        <f t="shared" si="62"/>
        <v>0</v>
      </c>
      <c r="G163" s="58"/>
      <c r="H163" s="177"/>
      <c r="I163" s="59">
        <v>7.0000000000000007E-2</v>
      </c>
      <c r="J163" s="59"/>
      <c r="K163" s="177">
        <f t="shared" si="63"/>
        <v>0</v>
      </c>
      <c r="L163" s="178">
        <v>0.20499999999999999</v>
      </c>
      <c r="M163" s="177"/>
      <c r="N163" s="177"/>
      <c r="O163" s="177">
        <f t="shared" si="64"/>
        <v>0</v>
      </c>
      <c r="P163" s="177">
        <f t="shared" si="65"/>
        <v>0</v>
      </c>
      <c r="Q163" s="185">
        <v>0.14299999999999999</v>
      </c>
      <c r="R163" s="180">
        <f t="shared" si="59"/>
        <v>0</v>
      </c>
      <c r="S163" s="180">
        <f t="shared" si="66"/>
        <v>0</v>
      </c>
      <c r="T163" s="181">
        <f t="shared" si="60"/>
        <v>0</v>
      </c>
      <c r="U163" s="213">
        <v>12</v>
      </c>
      <c r="V163" s="182"/>
      <c r="W163" s="182"/>
      <c r="X163" s="182"/>
      <c r="Y163" s="182"/>
      <c r="Z163" s="183">
        <v>27.3</v>
      </c>
      <c r="AA163" s="184" t="s">
        <v>217</v>
      </c>
      <c r="AB163" s="176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21.95" customHeight="1">
      <c r="A164" s="11">
        <v>1028</v>
      </c>
      <c r="B164" s="38" t="s">
        <v>54</v>
      </c>
      <c r="C164" s="53"/>
      <c r="D164" s="165">
        <v>14.91</v>
      </c>
      <c r="E164" s="177">
        <f t="shared" si="61"/>
        <v>0</v>
      </c>
      <c r="F164" s="177">
        <f t="shared" si="62"/>
        <v>0</v>
      </c>
      <c r="G164" s="58"/>
      <c r="H164" s="177"/>
      <c r="I164" s="59">
        <v>7.0000000000000007E-2</v>
      </c>
      <c r="J164" s="59"/>
      <c r="K164" s="177">
        <f t="shared" si="63"/>
        <v>0</v>
      </c>
      <c r="L164" s="178">
        <v>0.20499999999999999</v>
      </c>
      <c r="M164" s="177"/>
      <c r="N164" s="177"/>
      <c r="O164" s="177">
        <f t="shared" si="64"/>
        <v>0</v>
      </c>
      <c r="P164" s="177">
        <f t="shared" si="65"/>
        <v>0</v>
      </c>
      <c r="Q164" s="185">
        <v>0.14299999999999999</v>
      </c>
      <c r="R164" s="180">
        <f t="shared" si="59"/>
        <v>0</v>
      </c>
      <c r="S164" s="180">
        <f t="shared" si="66"/>
        <v>0</v>
      </c>
      <c r="T164" s="181">
        <f t="shared" si="60"/>
        <v>0</v>
      </c>
      <c r="U164" s="213">
        <v>12</v>
      </c>
      <c r="V164" s="182"/>
      <c r="W164" s="182"/>
      <c r="X164" s="182"/>
      <c r="Y164" s="182"/>
      <c r="Z164" s="183">
        <v>27.3</v>
      </c>
      <c r="AA164" s="184" t="s">
        <v>217</v>
      </c>
      <c r="AB164" s="176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21.95" customHeight="1">
      <c r="A165" s="248" t="s">
        <v>55</v>
      </c>
      <c r="B165" s="249"/>
      <c r="C165" s="39"/>
      <c r="D165" s="39"/>
      <c r="E165" s="39"/>
      <c r="F165" s="39"/>
      <c r="G165" s="39"/>
      <c r="H165" s="39"/>
      <c r="I165" s="39"/>
      <c r="J165" s="39"/>
      <c r="K165" s="39"/>
      <c r="L165" s="3"/>
      <c r="M165" s="3"/>
      <c r="N165" s="3"/>
      <c r="O165" s="3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176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21.95" customHeight="1">
      <c r="A166" s="94">
        <v>1050</v>
      </c>
      <c r="B166" s="38" t="s">
        <v>245</v>
      </c>
      <c r="C166" s="53"/>
      <c r="D166" s="165">
        <v>14.91</v>
      </c>
      <c r="E166" s="177">
        <f t="shared" si="61"/>
        <v>0</v>
      </c>
      <c r="F166" s="177">
        <f t="shared" si="62"/>
        <v>0</v>
      </c>
      <c r="G166" s="58"/>
      <c r="H166" s="177"/>
      <c r="I166" s="59">
        <v>7.0000000000000007E-2</v>
      </c>
      <c r="J166" s="59"/>
      <c r="K166" s="177">
        <f t="shared" si="63"/>
        <v>0</v>
      </c>
      <c r="L166" s="178">
        <v>0.20499999999999999</v>
      </c>
      <c r="M166" s="177"/>
      <c r="N166" s="177"/>
      <c r="O166" s="177">
        <f t="shared" si="64"/>
        <v>0</v>
      </c>
      <c r="P166" s="177">
        <f t="shared" si="65"/>
        <v>0</v>
      </c>
      <c r="Q166" s="185">
        <v>0.14299999999999999</v>
      </c>
      <c r="R166" s="180">
        <f t="shared" si="59"/>
        <v>0</v>
      </c>
      <c r="S166" s="180">
        <f t="shared" si="66"/>
        <v>0</v>
      </c>
      <c r="T166" s="181">
        <f t="shared" ref="T166:T205" si="67">C166/U166</f>
        <v>0</v>
      </c>
      <c r="U166" s="213">
        <v>12</v>
      </c>
      <c r="V166" s="182"/>
      <c r="W166" s="182"/>
      <c r="X166" s="182"/>
      <c r="Y166" s="182"/>
      <c r="Z166" s="183">
        <v>27.3</v>
      </c>
      <c r="AA166" s="184" t="s">
        <v>217</v>
      </c>
      <c r="AB166" s="176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21.95" customHeight="1">
      <c r="A167" s="11">
        <v>1030</v>
      </c>
      <c r="B167" s="38" t="s">
        <v>57</v>
      </c>
      <c r="C167" s="53"/>
      <c r="D167" s="165">
        <v>14.91</v>
      </c>
      <c r="E167" s="177">
        <f t="shared" si="61"/>
        <v>0</v>
      </c>
      <c r="F167" s="177">
        <f t="shared" si="62"/>
        <v>0</v>
      </c>
      <c r="G167" s="58"/>
      <c r="H167" s="177"/>
      <c r="I167" s="59">
        <v>7.0000000000000007E-2</v>
      </c>
      <c r="J167" s="59"/>
      <c r="K167" s="177">
        <f t="shared" si="63"/>
        <v>0</v>
      </c>
      <c r="L167" s="178">
        <v>0.20499999999999999</v>
      </c>
      <c r="M167" s="177"/>
      <c r="N167" s="177"/>
      <c r="O167" s="177">
        <f t="shared" si="64"/>
        <v>0</v>
      </c>
      <c r="P167" s="177">
        <f t="shared" si="65"/>
        <v>0</v>
      </c>
      <c r="Q167" s="185">
        <v>0.14299999999999999</v>
      </c>
      <c r="R167" s="180">
        <f t="shared" si="59"/>
        <v>0</v>
      </c>
      <c r="S167" s="180">
        <f t="shared" si="66"/>
        <v>0</v>
      </c>
      <c r="T167" s="181">
        <f t="shared" si="67"/>
        <v>0</v>
      </c>
      <c r="U167" s="213">
        <v>12</v>
      </c>
      <c r="V167" s="182"/>
      <c r="W167" s="182"/>
      <c r="X167" s="182"/>
      <c r="Y167" s="182"/>
      <c r="Z167" s="183">
        <v>27.3</v>
      </c>
      <c r="AA167" s="184" t="s">
        <v>217</v>
      </c>
      <c r="AB167" s="176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21.95" customHeight="1">
      <c r="A168" s="248" t="s">
        <v>58</v>
      </c>
      <c r="B168" s="249"/>
      <c r="C168" s="39"/>
      <c r="D168" s="39"/>
      <c r="E168" s="39"/>
      <c r="F168" s="39"/>
      <c r="G168" s="39"/>
      <c r="H168" s="39"/>
      <c r="I168" s="39"/>
      <c r="J168" s="39"/>
      <c r="K168" s="39"/>
      <c r="L168" s="3"/>
      <c r="M168" s="3"/>
      <c r="N168" s="3"/>
      <c r="O168" s="3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176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21.95" customHeight="1">
      <c r="A169" s="11">
        <v>1031</v>
      </c>
      <c r="B169" s="38" t="s">
        <v>59</v>
      </c>
      <c r="C169" s="54"/>
      <c r="D169" s="165">
        <v>14.91</v>
      </c>
      <c r="E169" s="177">
        <f t="shared" si="61"/>
        <v>0</v>
      </c>
      <c r="F169" s="177">
        <f t="shared" si="62"/>
        <v>0</v>
      </c>
      <c r="G169" s="58"/>
      <c r="H169" s="177"/>
      <c r="I169" s="59">
        <v>7.0000000000000007E-2</v>
      </c>
      <c r="J169" s="59"/>
      <c r="K169" s="177">
        <f t="shared" si="63"/>
        <v>0</v>
      </c>
      <c r="L169" s="178">
        <v>0.20499999999999999</v>
      </c>
      <c r="M169" s="177"/>
      <c r="N169" s="177"/>
      <c r="O169" s="177">
        <f t="shared" si="64"/>
        <v>0</v>
      </c>
      <c r="P169" s="177">
        <f t="shared" si="65"/>
        <v>0</v>
      </c>
      <c r="Q169" s="185">
        <v>0.14299999999999999</v>
      </c>
      <c r="R169" s="180">
        <f t="shared" si="59"/>
        <v>0</v>
      </c>
      <c r="S169" s="180">
        <f t="shared" si="66"/>
        <v>0</v>
      </c>
      <c r="T169" s="181">
        <f t="shared" si="67"/>
        <v>0</v>
      </c>
      <c r="U169" s="213">
        <v>12</v>
      </c>
      <c r="V169" s="182"/>
      <c r="W169" s="182"/>
      <c r="X169" s="182"/>
      <c r="Y169" s="182"/>
      <c r="Z169" s="183">
        <v>27.3</v>
      </c>
      <c r="AA169" s="184" t="s">
        <v>217</v>
      </c>
      <c r="AB169" s="176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21.95" customHeight="1">
      <c r="A170" s="248" t="s">
        <v>60</v>
      </c>
      <c r="B170" s="249"/>
      <c r="C170" s="39"/>
      <c r="D170" s="39"/>
      <c r="E170" s="39"/>
      <c r="F170" s="39"/>
      <c r="G170" s="39"/>
      <c r="H170" s="39"/>
      <c r="I170" s="39"/>
      <c r="J170" s="39"/>
      <c r="K170" s="39"/>
      <c r="L170" s="3"/>
      <c r="M170" s="3"/>
      <c r="N170" s="3"/>
      <c r="O170" s="3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176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21.95" customHeight="1">
      <c r="A171" s="11">
        <v>1032</v>
      </c>
      <c r="B171" s="38" t="s">
        <v>246</v>
      </c>
      <c r="C171" s="54"/>
      <c r="D171" s="165">
        <v>14.91</v>
      </c>
      <c r="E171" s="177">
        <f t="shared" si="61"/>
        <v>0</v>
      </c>
      <c r="F171" s="177">
        <f t="shared" si="62"/>
        <v>0</v>
      </c>
      <c r="G171" s="58"/>
      <c r="H171" s="177"/>
      <c r="I171" s="59">
        <v>7.0000000000000007E-2</v>
      </c>
      <c r="J171" s="59"/>
      <c r="K171" s="177">
        <f t="shared" si="63"/>
        <v>0</v>
      </c>
      <c r="L171" s="178">
        <v>0.20499999999999999</v>
      </c>
      <c r="M171" s="177"/>
      <c r="N171" s="177"/>
      <c r="O171" s="177">
        <f t="shared" si="64"/>
        <v>0</v>
      </c>
      <c r="P171" s="177">
        <f t="shared" si="65"/>
        <v>0</v>
      </c>
      <c r="Q171" s="185">
        <v>0.14299999999999999</v>
      </c>
      <c r="R171" s="180">
        <f t="shared" si="59"/>
        <v>0</v>
      </c>
      <c r="S171" s="180">
        <f t="shared" si="66"/>
        <v>0</v>
      </c>
      <c r="T171" s="181">
        <f t="shared" si="67"/>
        <v>0</v>
      </c>
      <c r="U171" s="213">
        <v>12</v>
      </c>
      <c r="V171" s="182"/>
      <c r="W171" s="182"/>
      <c r="X171" s="182"/>
      <c r="Y171" s="182"/>
      <c r="Z171" s="183">
        <v>27.3</v>
      </c>
      <c r="AA171" s="184" t="s">
        <v>217</v>
      </c>
      <c r="AB171" s="176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21.95" customHeight="1">
      <c r="A172" s="248" t="s">
        <v>61</v>
      </c>
      <c r="B172" s="249"/>
      <c r="C172" s="39"/>
      <c r="D172" s="39"/>
      <c r="E172" s="39"/>
      <c r="F172" s="39"/>
      <c r="G172" s="39"/>
      <c r="H172" s="39"/>
      <c r="I172" s="39"/>
      <c r="J172" s="39"/>
      <c r="K172" s="39"/>
      <c r="L172" s="3"/>
      <c r="M172" s="3"/>
      <c r="N172" s="3"/>
      <c r="O172" s="3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176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21.95" customHeight="1">
      <c r="A173" s="11">
        <v>1029</v>
      </c>
      <c r="B173" s="38" t="s">
        <v>56</v>
      </c>
      <c r="C173" s="53"/>
      <c r="D173" s="165">
        <v>14.91</v>
      </c>
      <c r="E173" s="177">
        <f t="shared" si="61"/>
        <v>0</v>
      </c>
      <c r="F173" s="177">
        <f t="shared" si="62"/>
        <v>0</v>
      </c>
      <c r="G173" s="58"/>
      <c r="H173" s="177"/>
      <c r="I173" s="59">
        <v>7.0000000000000007E-2</v>
      </c>
      <c r="J173" s="59"/>
      <c r="K173" s="177">
        <f t="shared" si="63"/>
        <v>0</v>
      </c>
      <c r="L173" s="178">
        <v>0.20499999999999999</v>
      </c>
      <c r="M173" s="177"/>
      <c r="N173" s="177"/>
      <c r="O173" s="177">
        <f t="shared" si="64"/>
        <v>0</v>
      </c>
      <c r="P173" s="177">
        <f t="shared" si="65"/>
        <v>0</v>
      </c>
      <c r="Q173" s="185">
        <v>0.14299999999999999</v>
      </c>
      <c r="R173" s="180">
        <f t="shared" si="59"/>
        <v>0</v>
      </c>
      <c r="S173" s="180">
        <f t="shared" si="66"/>
        <v>0</v>
      </c>
      <c r="T173" s="181">
        <f t="shared" si="67"/>
        <v>0</v>
      </c>
      <c r="U173" s="213">
        <v>12</v>
      </c>
      <c r="V173" s="182"/>
      <c r="W173" s="182"/>
      <c r="X173" s="182"/>
      <c r="Y173" s="182"/>
      <c r="Z173" s="183">
        <v>27.3</v>
      </c>
      <c r="AA173" s="184" t="s">
        <v>217</v>
      </c>
      <c r="AB173" s="176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21.95" customHeight="1">
      <c r="A174" s="11">
        <v>1033</v>
      </c>
      <c r="B174" s="38" t="s">
        <v>62</v>
      </c>
      <c r="C174" s="54"/>
      <c r="D174" s="165">
        <v>14.91</v>
      </c>
      <c r="E174" s="177">
        <f t="shared" si="61"/>
        <v>0</v>
      </c>
      <c r="F174" s="177">
        <f t="shared" si="62"/>
        <v>0</v>
      </c>
      <c r="G174" s="58"/>
      <c r="H174" s="177"/>
      <c r="I174" s="59">
        <v>7.0000000000000007E-2</v>
      </c>
      <c r="J174" s="59"/>
      <c r="K174" s="177">
        <f t="shared" si="63"/>
        <v>0</v>
      </c>
      <c r="L174" s="178">
        <v>0.20499999999999999</v>
      </c>
      <c r="M174" s="177"/>
      <c r="N174" s="177"/>
      <c r="O174" s="177">
        <f t="shared" si="64"/>
        <v>0</v>
      </c>
      <c r="P174" s="177">
        <f t="shared" si="65"/>
        <v>0</v>
      </c>
      <c r="Q174" s="185">
        <v>0.14299999999999999</v>
      </c>
      <c r="R174" s="180">
        <f t="shared" si="59"/>
        <v>0</v>
      </c>
      <c r="S174" s="180">
        <f t="shared" si="66"/>
        <v>0</v>
      </c>
      <c r="T174" s="181">
        <f t="shared" si="67"/>
        <v>0</v>
      </c>
      <c r="U174" s="213">
        <v>12</v>
      </c>
      <c r="V174" s="182"/>
      <c r="W174" s="182"/>
      <c r="X174" s="182"/>
      <c r="Y174" s="182"/>
      <c r="Z174" s="183">
        <v>27.3</v>
      </c>
      <c r="AA174" s="184" t="s">
        <v>217</v>
      </c>
      <c r="AB174" s="176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21.95" customHeight="1">
      <c r="A175" s="11">
        <v>1034</v>
      </c>
      <c r="B175" s="38" t="s">
        <v>63</v>
      </c>
      <c r="C175" s="54"/>
      <c r="D175" s="165">
        <v>14.91</v>
      </c>
      <c r="E175" s="177">
        <f t="shared" si="61"/>
        <v>0</v>
      </c>
      <c r="F175" s="177">
        <f t="shared" si="62"/>
        <v>0</v>
      </c>
      <c r="G175" s="58"/>
      <c r="H175" s="177"/>
      <c r="I175" s="59">
        <v>7.0000000000000007E-2</v>
      </c>
      <c r="J175" s="59"/>
      <c r="K175" s="177">
        <f t="shared" si="63"/>
        <v>0</v>
      </c>
      <c r="L175" s="178">
        <v>0.20499999999999999</v>
      </c>
      <c r="M175" s="177"/>
      <c r="N175" s="177"/>
      <c r="O175" s="177">
        <f t="shared" si="64"/>
        <v>0</v>
      </c>
      <c r="P175" s="177">
        <f t="shared" si="65"/>
        <v>0</v>
      </c>
      <c r="Q175" s="185">
        <v>0.14299999999999999</v>
      </c>
      <c r="R175" s="180">
        <f t="shared" si="59"/>
        <v>0</v>
      </c>
      <c r="S175" s="180">
        <f t="shared" si="66"/>
        <v>0</v>
      </c>
      <c r="T175" s="181">
        <f t="shared" si="67"/>
        <v>0</v>
      </c>
      <c r="U175" s="213">
        <v>12</v>
      </c>
      <c r="V175" s="182"/>
      <c r="W175" s="182"/>
      <c r="X175" s="182"/>
      <c r="Y175" s="182"/>
      <c r="Z175" s="183">
        <v>27.3</v>
      </c>
      <c r="AA175" s="184" t="s">
        <v>217</v>
      </c>
      <c r="AB175" s="176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21.95" customHeight="1">
      <c r="A176" s="93">
        <v>1053</v>
      </c>
      <c r="B176" s="38" t="s">
        <v>247</v>
      </c>
      <c r="C176" s="54"/>
      <c r="D176" s="165">
        <v>14.91</v>
      </c>
      <c r="E176" s="177">
        <f t="shared" si="61"/>
        <v>0</v>
      </c>
      <c r="F176" s="177">
        <f t="shared" si="62"/>
        <v>0</v>
      </c>
      <c r="G176" s="58"/>
      <c r="H176" s="177"/>
      <c r="I176" s="59">
        <v>7.0000000000000007E-2</v>
      </c>
      <c r="J176" s="59"/>
      <c r="K176" s="177">
        <f t="shared" si="63"/>
        <v>0</v>
      </c>
      <c r="L176" s="178">
        <v>0.20499999999999999</v>
      </c>
      <c r="M176" s="177"/>
      <c r="N176" s="177"/>
      <c r="O176" s="177">
        <f t="shared" si="64"/>
        <v>0</v>
      </c>
      <c r="P176" s="177">
        <f t="shared" si="65"/>
        <v>0</v>
      </c>
      <c r="Q176" s="185">
        <v>0.14299999999999999</v>
      </c>
      <c r="R176" s="180">
        <f t="shared" si="59"/>
        <v>0</v>
      </c>
      <c r="S176" s="180">
        <f t="shared" si="66"/>
        <v>0</v>
      </c>
      <c r="T176" s="181">
        <f t="shared" si="67"/>
        <v>0</v>
      </c>
      <c r="U176" s="213">
        <v>12</v>
      </c>
      <c r="V176" s="182"/>
      <c r="W176" s="182"/>
      <c r="X176" s="182"/>
      <c r="Y176" s="182"/>
      <c r="Z176" s="183">
        <v>27.3</v>
      </c>
      <c r="AA176" s="184" t="s">
        <v>217</v>
      </c>
      <c r="AB176" s="176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21.95" customHeight="1">
      <c r="A177" s="248" t="s">
        <v>64</v>
      </c>
      <c r="B177" s="249"/>
      <c r="C177" s="39"/>
      <c r="D177" s="39"/>
      <c r="E177" s="39"/>
      <c r="F177" s="39"/>
      <c r="G177" s="39"/>
      <c r="H177" s="39"/>
      <c r="I177" s="39"/>
      <c r="J177" s="39"/>
      <c r="K177" s="39"/>
      <c r="L177" s="3"/>
      <c r="M177" s="3"/>
      <c r="N177" s="3"/>
      <c r="O177" s="3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176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21.95" customHeight="1">
      <c r="A178" s="11">
        <v>1035</v>
      </c>
      <c r="B178" s="38" t="s">
        <v>65</v>
      </c>
      <c r="C178" s="54"/>
      <c r="D178" s="165">
        <v>14.91</v>
      </c>
      <c r="E178" s="177">
        <f t="shared" si="61"/>
        <v>0</v>
      </c>
      <c r="F178" s="177">
        <f t="shared" si="62"/>
        <v>0</v>
      </c>
      <c r="G178" s="58"/>
      <c r="H178" s="177"/>
      <c r="I178" s="59">
        <v>7.0000000000000007E-2</v>
      </c>
      <c r="J178" s="59"/>
      <c r="K178" s="177">
        <f t="shared" si="63"/>
        <v>0</v>
      </c>
      <c r="L178" s="178">
        <v>0.20499999999999999</v>
      </c>
      <c r="M178" s="177"/>
      <c r="N178" s="177"/>
      <c r="O178" s="177">
        <f t="shared" si="64"/>
        <v>0</v>
      </c>
      <c r="P178" s="177">
        <f t="shared" si="65"/>
        <v>0</v>
      </c>
      <c r="Q178" s="185">
        <v>0.14299999999999999</v>
      </c>
      <c r="R178" s="180">
        <f t="shared" si="59"/>
        <v>0</v>
      </c>
      <c r="S178" s="180">
        <f t="shared" si="66"/>
        <v>0</v>
      </c>
      <c r="T178" s="181">
        <f t="shared" si="67"/>
        <v>0</v>
      </c>
      <c r="U178" s="213">
        <v>12</v>
      </c>
      <c r="V178" s="182"/>
      <c r="W178" s="182"/>
      <c r="X178" s="182"/>
      <c r="Y178" s="182"/>
      <c r="Z178" s="183">
        <v>27.3</v>
      </c>
      <c r="AA178" s="184" t="s">
        <v>217</v>
      </c>
      <c r="AB178" s="176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21.95" customHeight="1">
      <c r="A179" s="248" t="s">
        <v>66</v>
      </c>
      <c r="B179" s="249"/>
      <c r="C179" s="39"/>
      <c r="D179" s="39"/>
      <c r="E179" s="39"/>
      <c r="F179" s="39"/>
      <c r="G179" s="39"/>
      <c r="H179" s="39"/>
      <c r="I179" s="39"/>
      <c r="J179" s="39"/>
      <c r="K179" s="39"/>
      <c r="L179" s="3"/>
      <c r="M179" s="3"/>
      <c r="N179" s="3"/>
      <c r="O179" s="3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176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21.95" customHeight="1">
      <c r="A180" s="11">
        <v>1036</v>
      </c>
      <c r="B180" s="38" t="s">
        <v>67</v>
      </c>
      <c r="C180" s="54"/>
      <c r="D180" s="165">
        <v>14.91</v>
      </c>
      <c r="E180" s="177">
        <f t="shared" si="61"/>
        <v>0</v>
      </c>
      <c r="F180" s="177">
        <f t="shared" si="62"/>
        <v>0</v>
      </c>
      <c r="G180" s="58"/>
      <c r="H180" s="177"/>
      <c r="I180" s="59">
        <v>7.0000000000000007E-2</v>
      </c>
      <c r="J180" s="59"/>
      <c r="K180" s="177">
        <f t="shared" si="63"/>
        <v>0</v>
      </c>
      <c r="L180" s="178">
        <v>0.20499999999999999</v>
      </c>
      <c r="M180" s="177"/>
      <c r="N180" s="177"/>
      <c r="O180" s="177">
        <f t="shared" si="64"/>
        <v>0</v>
      </c>
      <c r="P180" s="177">
        <f t="shared" si="65"/>
        <v>0</v>
      </c>
      <c r="Q180" s="185">
        <v>0.14299999999999999</v>
      </c>
      <c r="R180" s="180">
        <f t="shared" si="59"/>
        <v>0</v>
      </c>
      <c r="S180" s="180">
        <f t="shared" si="66"/>
        <v>0</v>
      </c>
      <c r="T180" s="181">
        <f t="shared" si="67"/>
        <v>0</v>
      </c>
      <c r="U180" s="213">
        <v>12</v>
      </c>
      <c r="V180" s="182"/>
      <c r="W180" s="182"/>
      <c r="X180" s="182"/>
      <c r="Y180" s="182"/>
      <c r="Z180" s="183">
        <v>27.3</v>
      </c>
      <c r="AA180" s="184" t="s">
        <v>217</v>
      </c>
      <c r="AB180" s="176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21.95" customHeight="1">
      <c r="A181" s="11">
        <v>1037</v>
      </c>
      <c r="B181" s="38" t="s">
        <v>248</v>
      </c>
      <c r="C181" s="54"/>
      <c r="D181" s="165">
        <v>14.91</v>
      </c>
      <c r="E181" s="177">
        <f t="shared" si="61"/>
        <v>0</v>
      </c>
      <c r="F181" s="177">
        <f t="shared" si="62"/>
        <v>0</v>
      </c>
      <c r="G181" s="58"/>
      <c r="H181" s="177"/>
      <c r="I181" s="59">
        <v>7.0000000000000007E-2</v>
      </c>
      <c r="J181" s="59"/>
      <c r="K181" s="177">
        <f t="shared" si="63"/>
        <v>0</v>
      </c>
      <c r="L181" s="178">
        <v>0.20499999999999999</v>
      </c>
      <c r="M181" s="177"/>
      <c r="N181" s="177"/>
      <c r="O181" s="177">
        <f t="shared" si="64"/>
        <v>0</v>
      </c>
      <c r="P181" s="177">
        <f t="shared" si="65"/>
        <v>0</v>
      </c>
      <c r="Q181" s="185">
        <v>0.14299999999999999</v>
      </c>
      <c r="R181" s="180">
        <f t="shared" si="59"/>
        <v>0</v>
      </c>
      <c r="S181" s="180">
        <f t="shared" si="66"/>
        <v>0</v>
      </c>
      <c r="T181" s="181">
        <f t="shared" si="67"/>
        <v>0</v>
      </c>
      <c r="U181" s="213">
        <v>12</v>
      </c>
      <c r="V181" s="182"/>
      <c r="W181" s="182"/>
      <c r="X181" s="182"/>
      <c r="Y181" s="182"/>
      <c r="Z181" s="183">
        <v>27.3</v>
      </c>
      <c r="AA181" s="184" t="s">
        <v>217</v>
      </c>
      <c r="AB181" s="176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21.95" customHeight="1">
      <c r="A182" s="93">
        <v>1054</v>
      </c>
      <c r="B182" s="38" t="s">
        <v>249</v>
      </c>
      <c r="C182" s="54"/>
      <c r="D182" s="165">
        <v>14.91</v>
      </c>
      <c r="E182" s="177">
        <f t="shared" si="61"/>
        <v>0</v>
      </c>
      <c r="F182" s="177">
        <f t="shared" si="62"/>
        <v>0</v>
      </c>
      <c r="G182" s="58"/>
      <c r="H182" s="177"/>
      <c r="I182" s="59">
        <v>7.0000000000000007E-2</v>
      </c>
      <c r="J182" s="59"/>
      <c r="K182" s="177">
        <f t="shared" si="63"/>
        <v>0</v>
      </c>
      <c r="L182" s="178">
        <v>0.20499999999999999</v>
      </c>
      <c r="M182" s="177"/>
      <c r="N182" s="177"/>
      <c r="O182" s="177">
        <f t="shared" si="64"/>
        <v>0</v>
      </c>
      <c r="P182" s="177">
        <f t="shared" si="65"/>
        <v>0</v>
      </c>
      <c r="Q182" s="185">
        <v>0.14299999999999999</v>
      </c>
      <c r="R182" s="180">
        <f t="shared" si="59"/>
        <v>0</v>
      </c>
      <c r="S182" s="180">
        <f t="shared" si="66"/>
        <v>0</v>
      </c>
      <c r="T182" s="181">
        <f t="shared" si="67"/>
        <v>0</v>
      </c>
      <c r="U182" s="213">
        <v>12</v>
      </c>
      <c r="V182" s="182"/>
      <c r="W182" s="182"/>
      <c r="X182" s="182"/>
      <c r="Y182" s="182"/>
      <c r="Z182" s="183">
        <v>27.3</v>
      </c>
      <c r="AA182" s="184" t="s">
        <v>217</v>
      </c>
      <c r="AB182" s="176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21.95" customHeight="1">
      <c r="A183" s="248" t="s">
        <v>68</v>
      </c>
      <c r="B183" s="249"/>
      <c r="C183" s="39"/>
      <c r="D183" s="39"/>
      <c r="E183" s="39"/>
      <c r="F183" s="39"/>
      <c r="G183" s="39"/>
      <c r="H183" s="39"/>
      <c r="I183" s="39"/>
      <c r="J183" s="39"/>
      <c r="K183" s="39"/>
      <c r="L183" s="3"/>
      <c r="M183" s="3"/>
      <c r="N183" s="3"/>
      <c r="O183" s="3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176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21.95" customHeight="1">
      <c r="A184" s="11">
        <v>1038</v>
      </c>
      <c r="B184" s="38" t="s">
        <v>69</v>
      </c>
      <c r="C184" s="54"/>
      <c r="D184" s="165">
        <v>16.059999999999999</v>
      </c>
      <c r="E184" s="177">
        <f t="shared" si="61"/>
        <v>0</v>
      </c>
      <c r="F184" s="177">
        <f t="shared" si="62"/>
        <v>0</v>
      </c>
      <c r="G184" s="58"/>
      <c r="H184" s="177"/>
      <c r="I184" s="59">
        <v>7.0000000000000007E-2</v>
      </c>
      <c r="J184" s="59"/>
      <c r="K184" s="177">
        <f t="shared" si="63"/>
        <v>0</v>
      </c>
      <c r="L184" s="178">
        <v>0.20499999999999999</v>
      </c>
      <c r="M184" s="177"/>
      <c r="N184" s="177"/>
      <c r="O184" s="177">
        <f t="shared" si="64"/>
        <v>0</v>
      </c>
      <c r="P184" s="177">
        <f t="shared" si="65"/>
        <v>0</v>
      </c>
      <c r="Q184" s="185">
        <v>0.14299999999999999</v>
      </c>
      <c r="R184" s="180">
        <f t="shared" si="59"/>
        <v>0</v>
      </c>
      <c r="S184" s="180">
        <f t="shared" si="66"/>
        <v>0</v>
      </c>
      <c r="T184" s="181">
        <f t="shared" si="67"/>
        <v>0</v>
      </c>
      <c r="U184" s="213">
        <v>12</v>
      </c>
      <c r="V184" s="214"/>
      <c r="W184" s="214"/>
      <c r="X184" s="214"/>
      <c r="Y184" s="214"/>
      <c r="Z184" s="183">
        <v>27.824999999999999</v>
      </c>
      <c r="AA184" s="184" t="s">
        <v>217</v>
      </c>
      <c r="AB184" s="176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21.95" customHeight="1">
      <c r="A185" s="11">
        <v>1039</v>
      </c>
      <c r="B185" s="38" t="s">
        <v>70</v>
      </c>
      <c r="C185" s="54"/>
      <c r="D185" s="165">
        <v>16.059999999999999</v>
      </c>
      <c r="E185" s="177">
        <f t="shared" si="61"/>
        <v>0</v>
      </c>
      <c r="F185" s="177">
        <f t="shared" si="62"/>
        <v>0</v>
      </c>
      <c r="G185" s="58"/>
      <c r="H185" s="177"/>
      <c r="I185" s="59">
        <v>7.0000000000000007E-2</v>
      </c>
      <c r="J185" s="59"/>
      <c r="K185" s="177">
        <f t="shared" si="63"/>
        <v>0</v>
      </c>
      <c r="L185" s="178">
        <v>0.20499999999999999</v>
      </c>
      <c r="M185" s="177"/>
      <c r="N185" s="177"/>
      <c r="O185" s="177">
        <f t="shared" si="64"/>
        <v>0</v>
      </c>
      <c r="P185" s="177">
        <f t="shared" si="65"/>
        <v>0</v>
      </c>
      <c r="Q185" s="185">
        <v>0.14299999999999999</v>
      </c>
      <c r="R185" s="180">
        <f t="shared" si="59"/>
        <v>0</v>
      </c>
      <c r="S185" s="180">
        <f t="shared" si="66"/>
        <v>0</v>
      </c>
      <c r="T185" s="181">
        <f t="shared" si="67"/>
        <v>0</v>
      </c>
      <c r="U185" s="213">
        <v>12</v>
      </c>
      <c r="V185" s="214"/>
      <c r="W185" s="214"/>
      <c r="X185" s="214"/>
      <c r="Y185" s="214"/>
      <c r="Z185" s="183">
        <v>27.824999999999999</v>
      </c>
      <c r="AA185" s="184" t="s">
        <v>217</v>
      </c>
      <c r="AB185" s="176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21.95" customHeight="1">
      <c r="A186" s="248" t="s">
        <v>250</v>
      </c>
      <c r="B186" s="249"/>
      <c r="C186" s="39"/>
      <c r="D186" s="39"/>
      <c r="E186" s="39"/>
      <c r="F186" s="39"/>
      <c r="G186" s="39"/>
      <c r="H186" s="39"/>
      <c r="I186" s="39"/>
      <c r="J186" s="39"/>
      <c r="K186" s="39"/>
      <c r="L186" s="3"/>
      <c r="M186" s="3"/>
      <c r="N186" s="3"/>
      <c r="O186" s="3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176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21.95" customHeight="1">
      <c r="A187" s="93">
        <v>1056</v>
      </c>
      <c r="B187" s="38" t="s">
        <v>251</v>
      </c>
      <c r="C187" s="54"/>
      <c r="D187" s="165">
        <v>16.059999999999999</v>
      </c>
      <c r="E187" s="177">
        <f t="shared" si="61"/>
        <v>0</v>
      </c>
      <c r="F187" s="177">
        <f>E187+R187</f>
        <v>0</v>
      </c>
      <c r="G187" s="58"/>
      <c r="H187" s="177"/>
      <c r="I187" s="59">
        <v>7.0000000000000007E-2</v>
      </c>
      <c r="J187" s="59"/>
      <c r="K187" s="177">
        <f t="shared" si="63"/>
        <v>0</v>
      </c>
      <c r="L187" s="178">
        <v>0.20499999999999999</v>
      </c>
      <c r="M187" s="177"/>
      <c r="N187" s="177"/>
      <c r="O187" s="177">
        <f t="shared" si="64"/>
        <v>0</v>
      </c>
      <c r="P187" s="177">
        <f t="shared" si="65"/>
        <v>0</v>
      </c>
      <c r="Q187" s="185">
        <v>0.14299999999999999</v>
      </c>
      <c r="R187" s="180">
        <f t="shared" si="59"/>
        <v>0</v>
      </c>
      <c r="S187" s="180">
        <f t="shared" si="66"/>
        <v>0</v>
      </c>
      <c r="T187" s="181">
        <f t="shared" si="67"/>
        <v>0</v>
      </c>
      <c r="U187" s="213">
        <v>12</v>
      </c>
      <c r="V187" s="214"/>
      <c r="W187" s="214"/>
      <c r="X187" s="214"/>
      <c r="Y187" s="214"/>
      <c r="Z187" s="183">
        <v>27.824999999999999</v>
      </c>
      <c r="AA187" s="184" t="s">
        <v>217</v>
      </c>
      <c r="AB187" s="176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21.95" customHeight="1">
      <c r="A188" s="93">
        <v>1057</v>
      </c>
      <c r="B188" s="38" t="s">
        <v>252</v>
      </c>
      <c r="C188" s="54"/>
      <c r="D188" s="165">
        <v>16.059999999999999</v>
      </c>
      <c r="E188" s="177">
        <f t="shared" si="61"/>
        <v>0</v>
      </c>
      <c r="F188" s="177">
        <f t="shared" si="62"/>
        <v>0</v>
      </c>
      <c r="G188" s="58"/>
      <c r="H188" s="177"/>
      <c r="I188" s="59">
        <v>7.0000000000000007E-2</v>
      </c>
      <c r="J188" s="59"/>
      <c r="K188" s="177">
        <f t="shared" si="63"/>
        <v>0</v>
      </c>
      <c r="L188" s="178">
        <v>0.20499999999999999</v>
      </c>
      <c r="M188" s="177"/>
      <c r="N188" s="177"/>
      <c r="O188" s="177">
        <f t="shared" si="64"/>
        <v>0</v>
      </c>
      <c r="P188" s="177">
        <f t="shared" si="65"/>
        <v>0</v>
      </c>
      <c r="Q188" s="185">
        <v>0.14299999999999999</v>
      </c>
      <c r="R188" s="180">
        <f t="shared" si="59"/>
        <v>0</v>
      </c>
      <c r="S188" s="180">
        <f t="shared" si="66"/>
        <v>0</v>
      </c>
      <c r="T188" s="181">
        <f t="shared" si="67"/>
        <v>0</v>
      </c>
      <c r="U188" s="213">
        <v>12</v>
      </c>
      <c r="V188" s="214"/>
      <c r="W188" s="214"/>
      <c r="X188" s="214"/>
      <c r="Y188" s="214"/>
      <c r="Z188" s="183">
        <v>27.824999999999999</v>
      </c>
      <c r="AA188" s="184" t="s">
        <v>217</v>
      </c>
      <c r="AB188" s="176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21.95" customHeight="1">
      <c r="A189" s="93">
        <v>1061</v>
      </c>
      <c r="B189" s="38" t="s">
        <v>253</v>
      </c>
      <c r="C189" s="90"/>
      <c r="D189" s="165">
        <v>16.059999999999999</v>
      </c>
      <c r="E189" s="177">
        <f t="shared" si="61"/>
        <v>0</v>
      </c>
      <c r="F189" s="177">
        <f t="shared" si="62"/>
        <v>0</v>
      </c>
      <c r="G189" s="58"/>
      <c r="H189" s="177"/>
      <c r="I189" s="59">
        <v>7.0000000000000007E-2</v>
      </c>
      <c r="J189" s="59"/>
      <c r="K189" s="177">
        <f t="shared" si="63"/>
        <v>0</v>
      </c>
      <c r="L189" s="178">
        <v>0.20499999999999999</v>
      </c>
      <c r="M189" s="177"/>
      <c r="N189" s="177"/>
      <c r="O189" s="177">
        <f t="shared" si="64"/>
        <v>0</v>
      </c>
      <c r="P189" s="177">
        <f t="shared" si="65"/>
        <v>0</v>
      </c>
      <c r="Q189" s="185">
        <v>0.14299999999999999</v>
      </c>
      <c r="R189" s="180">
        <f t="shared" si="59"/>
        <v>0</v>
      </c>
      <c r="S189" s="180">
        <f t="shared" si="66"/>
        <v>0</v>
      </c>
      <c r="T189" s="181">
        <f t="shared" si="67"/>
        <v>0</v>
      </c>
      <c r="U189" s="213">
        <v>12</v>
      </c>
      <c r="V189" s="214"/>
      <c r="W189" s="214"/>
      <c r="X189" s="214"/>
      <c r="Y189" s="214"/>
      <c r="Z189" s="183">
        <v>27.824999999999999</v>
      </c>
      <c r="AA189" s="184" t="s">
        <v>217</v>
      </c>
      <c r="AB189" s="176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21.95" customHeight="1">
      <c r="A190" s="248" t="s">
        <v>71</v>
      </c>
      <c r="B190" s="249"/>
      <c r="C190" s="39"/>
      <c r="D190" s="39"/>
      <c r="E190" s="39"/>
      <c r="F190" s="39"/>
      <c r="G190" s="39"/>
      <c r="H190" s="39"/>
      <c r="I190" s="39"/>
      <c r="J190" s="39"/>
      <c r="K190" s="39"/>
      <c r="L190" s="3"/>
      <c r="M190" s="3"/>
      <c r="N190" s="3"/>
      <c r="O190" s="3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176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21.95" customHeight="1">
      <c r="A191" s="11">
        <v>1040</v>
      </c>
      <c r="B191" s="38" t="s">
        <v>72</v>
      </c>
      <c r="C191" s="54"/>
      <c r="D191" s="165">
        <v>16.059999999999999</v>
      </c>
      <c r="E191" s="177">
        <f t="shared" si="61"/>
        <v>0</v>
      </c>
      <c r="F191" s="177">
        <f t="shared" si="62"/>
        <v>0</v>
      </c>
      <c r="G191" s="58"/>
      <c r="H191" s="177"/>
      <c r="I191" s="59">
        <v>7.0000000000000007E-2</v>
      </c>
      <c r="J191" s="59"/>
      <c r="K191" s="177">
        <f t="shared" si="63"/>
        <v>0</v>
      </c>
      <c r="L191" s="178">
        <v>0.20499999999999999</v>
      </c>
      <c r="M191" s="177"/>
      <c r="N191" s="177"/>
      <c r="O191" s="177">
        <f t="shared" si="64"/>
        <v>0</v>
      </c>
      <c r="P191" s="177">
        <f t="shared" si="65"/>
        <v>0</v>
      </c>
      <c r="Q191" s="185">
        <v>0.14299999999999999</v>
      </c>
      <c r="R191" s="180">
        <f t="shared" si="59"/>
        <v>0</v>
      </c>
      <c r="S191" s="180">
        <f t="shared" si="66"/>
        <v>0</v>
      </c>
      <c r="T191" s="181">
        <f t="shared" si="67"/>
        <v>0</v>
      </c>
      <c r="U191" s="213">
        <v>12</v>
      </c>
      <c r="V191" s="214"/>
      <c r="W191" s="214"/>
      <c r="X191" s="214"/>
      <c r="Y191" s="214"/>
      <c r="Z191" s="183">
        <v>27.824999999999999</v>
      </c>
      <c r="AA191" s="184" t="s">
        <v>217</v>
      </c>
      <c r="AB191" s="176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21.95" customHeight="1">
      <c r="A192" s="248" t="s">
        <v>73</v>
      </c>
      <c r="B192" s="249"/>
      <c r="C192" s="39"/>
      <c r="D192" s="39"/>
      <c r="E192" s="39"/>
      <c r="F192" s="39"/>
      <c r="G192" s="39"/>
      <c r="H192" s="39"/>
      <c r="I192" s="39"/>
      <c r="J192" s="39"/>
      <c r="K192" s="39"/>
      <c r="L192" s="3"/>
      <c r="M192" s="3"/>
      <c r="N192" s="3"/>
      <c r="O192" s="3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176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21.95" customHeight="1">
      <c r="A193" s="11">
        <v>1041</v>
      </c>
      <c r="B193" s="38" t="s">
        <v>74</v>
      </c>
      <c r="C193" s="54"/>
      <c r="D193" s="165">
        <v>15.6</v>
      </c>
      <c r="E193" s="177">
        <f t="shared" si="61"/>
        <v>0</v>
      </c>
      <c r="F193" s="177">
        <f t="shared" si="62"/>
        <v>0</v>
      </c>
      <c r="G193" s="58"/>
      <c r="H193" s="177"/>
      <c r="I193" s="59">
        <v>7.0000000000000007E-2</v>
      </c>
      <c r="J193" s="59"/>
      <c r="K193" s="177">
        <f t="shared" si="63"/>
        <v>0</v>
      </c>
      <c r="L193" s="178">
        <v>0.20499999999999999</v>
      </c>
      <c r="M193" s="177"/>
      <c r="N193" s="177"/>
      <c r="O193" s="177">
        <f t="shared" si="64"/>
        <v>0</v>
      </c>
      <c r="P193" s="177">
        <f t="shared" si="65"/>
        <v>0</v>
      </c>
      <c r="Q193" s="185">
        <v>0.14299999999999999</v>
      </c>
      <c r="R193" s="180">
        <f t="shared" si="59"/>
        <v>0</v>
      </c>
      <c r="S193" s="180">
        <f t="shared" si="66"/>
        <v>0</v>
      </c>
      <c r="T193" s="181">
        <f t="shared" si="67"/>
        <v>0</v>
      </c>
      <c r="U193" s="213">
        <v>12</v>
      </c>
      <c r="V193" s="214"/>
      <c r="W193" s="214"/>
      <c r="X193" s="214"/>
      <c r="Y193" s="214"/>
      <c r="Z193" s="183">
        <v>27.824999999999999</v>
      </c>
      <c r="AA193" s="184" t="s">
        <v>217</v>
      </c>
      <c r="AB193" s="176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21.95" customHeight="1">
      <c r="A194" s="11">
        <v>1042</v>
      </c>
      <c r="B194" s="38" t="s">
        <v>75</v>
      </c>
      <c r="C194" s="54"/>
      <c r="D194" s="165">
        <v>15.6</v>
      </c>
      <c r="E194" s="177">
        <f t="shared" si="61"/>
        <v>0</v>
      </c>
      <c r="F194" s="177">
        <f t="shared" si="62"/>
        <v>0</v>
      </c>
      <c r="G194" s="58"/>
      <c r="H194" s="177"/>
      <c r="I194" s="59">
        <v>7.0000000000000007E-2</v>
      </c>
      <c r="J194" s="59"/>
      <c r="K194" s="177">
        <f t="shared" si="63"/>
        <v>0</v>
      </c>
      <c r="L194" s="178">
        <v>0.20499999999999999</v>
      </c>
      <c r="M194" s="177"/>
      <c r="N194" s="177"/>
      <c r="O194" s="177">
        <f t="shared" si="64"/>
        <v>0</v>
      </c>
      <c r="P194" s="177">
        <f t="shared" si="65"/>
        <v>0</v>
      </c>
      <c r="Q194" s="185">
        <v>0.14299999999999999</v>
      </c>
      <c r="R194" s="180">
        <f t="shared" si="59"/>
        <v>0</v>
      </c>
      <c r="S194" s="180">
        <f t="shared" si="66"/>
        <v>0</v>
      </c>
      <c r="T194" s="181">
        <f t="shared" si="67"/>
        <v>0</v>
      </c>
      <c r="U194" s="213">
        <v>12</v>
      </c>
      <c r="V194" s="214"/>
      <c r="W194" s="214"/>
      <c r="X194" s="214"/>
      <c r="Y194" s="214"/>
      <c r="Z194" s="183">
        <v>27.824999999999999</v>
      </c>
      <c r="AA194" s="184" t="s">
        <v>217</v>
      </c>
      <c r="AB194" s="176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21.95" customHeight="1">
      <c r="A195" s="11">
        <v>1043</v>
      </c>
      <c r="B195" s="38" t="s">
        <v>76</v>
      </c>
      <c r="C195" s="54"/>
      <c r="D195" s="165">
        <v>15.6</v>
      </c>
      <c r="E195" s="177">
        <f t="shared" si="61"/>
        <v>0</v>
      </c>
      <c r="F195" s="177">
        <f t="shared" si="62"/>
        <v>0</v>
      </c>
      <c r="G195" s="58"/>
      <c r="H195" s="177"/>
      <c r="I195" s="59">
        <v>7.0000000000000007E-2</v>
      </c>
      <c r="J195" s="59"/>
      <c r="K195" s="177">
        <f t="shared" si="63"/>
        <v>0</v>
      </c>
      <c r="L195" s="178">
        <v>0.20499999999999999</v>
      </c>
      <c r="M195" s="177"/>
      <c r="N195" s="177"/>
      <c r="O195" s="177">
        <f t="shared" si="64"/>
        <v>0</v>
      </c>
      <c r="P195" s="177">
        <f t="shared" si="65"/>
        <v>0</v>
      </c>
      <c r="Q195" s="185">
        <v>0.14299999999999999</v>
      </c>
      <c r="R195" s="180">
        <f t="shared" si="59"/>
        <v>0</v>
      </c>
      <c r="S195" s="180">
        <f t="shared" si="66"/>
        <v>0</v>
      </c>
      <c r="T195" s="181">
        <f t="shared" si="67"/>
        <v>0</v>
      </c>
      <c r="U195" s="213">
        <v>12</v>
      </c>
      <c r="V195" s="214"/>
      <c r="W195" s="214"/>
      <c r="X195" s="214"/>
      <c r="Y195" s="214"/>
      <c r="Z195" s="183">
        <v>27.824999999999999</v>
      </c>
      <c r="AA195" s="184" t="s">
        <v>217</v>
      </c>
      <c r="AB195" s="176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21.95" customHeight="1">
      <c r="A196" s="11">
        <v>1044</v>
      </c>
      <c r="B196" s="38" t="s">
        <v>77</v>
      </c>
      <c r="C196" s="54"/>
      <c r="D196" s="165">
        <v>15.6</v>
      </c>
      <c r="E196" s="177">
        <f t="shared" si="61"/>
        <v>0</v>
      </c>
      <c r="F196" s="177">
        <f t="shared" si="62"/>
        <v>0</v>
      </c>
      <c r="G196" s="58"/>
      <c r="H196" s="177"/>
      <c r="I196" s="59">
        <v>7.0000000000000007E-2</v>
      </c>
      <c r="J196" s="59"/>
      <c r="K196" s="177">
        <f t="shared" si="63"/>
        <v>0</v>
      </c>
      <c r="L196" s="178">
        <v>0.20499999999999999</v>
      </c>
      <c r="M196" s="177"/>
      <c r="N196" s="177"/>
      <c r="O196" s="177">
        <f t="shared" si="64"/>
        <v>0</v>
      </c>
      <c r="P196" s="177">
        <f t="shared" si="65"/>
        <v>0</v>
      </c>
      <c r="Q196" s="185">
        <v>0.14299999999999999</v>
      </c>
      <c r="R196" s="180">
        <f t="shared" si="59"/>
        <v>0</v>
      </c>
      <c r="S196" s="180">
        <f t="shared" si="66"/>
        <v>0</v>
      </c>
      <c r="T196" s="181">
        <f t="shared" si="67"/>
        <v>0</v>
      </c>
      <c r="U196" s="213">
        <v>12</v>
      </c>
      <c r="V196" s="214"/>
      <c r="W196" s="214"/>
      <c r="X196" s="214"/>
      <c r="Y196" s="214"/>
      <c r="Z196" s="183">
        <v>27.824999999999999</v>
      </c>
      <c r="AA196" s="184" t="s">
        <v>217</v>
      </c>
      <c r="AB196" s="176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21.95" customHeight="1">
      <c r="A197" s="248" t="s">
        <v>78</v>
      </c>
      <c r="B197" s="249"/>
      <c r="C197" s="39"/>
      <c r="D197" s="39"/>
      <c r="E197" s="39"/>
      <c r="F197" s="39"/>
      <c r="G197" s="39"/>
      <c r="H197" s="39"/>
      <c r="I197" s="39"/>
      <c r="J197" s="39"/>
      <c r="K197" s="39"/>
      <c r="L197" s="3"/>
      <c r="M197" s="3"/>
      <c r="N197" s="3"/>
      <c r="O197" s="3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176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21.95" customHeight="1">
      <c r="A198" s="11">
        <v>1045</v>
      </c>
      <c r="B198" s="38" t="s">
        <v>254</v>
      </c>
      <c r="C198" s="54"/>
      <c r="D198" s="165">
        <v>15.6</v>
      </c>
      <c r="E198" s="177">
        <f t="shared" si="61"/>
        <v>0</v>
      </c>
      <c r="F198" s="177">
        <f t="shared" si="62"/>
        <v>0</v>
      </c>
      <c r="G198" s="58"/>
      <c r="H198" s="177"/>
      <c r="I198" s="59">
        <v>7.0000000000000007E-2</v>
      </c>
      <c r="J198" s="59"/>
      <c r="K198" s="177">
        <f t="shared" si="63"/>
        <v>0</v>
      </c>
      <c r="L198" s="178">
        <v>0.20499999999999999</v>
      </c>
      <c r="M198" s="177"/>
      <c r="N198" s="177"/>
      <c r="O198" s="177">
        <f t="shared" si="64"/>
        <v>0</v>
      </c>
      <c r="P198" s="177">
        <f t="shared" si="65"/>
        <v>0</v>
      </c>
      <c r="Q198" s="185">
        <v>0.14299999999999999</v>
      </c>
      <c r="R198" s="180">
        <f t="shared" si="59"/>
        <v>0</v>
      </c>
      <c r="S198" s="180">
        <f t="shared" si="66"/>
        <v>0</v>
      </c>
      <c r="T198" s="181">
        <f t="shared" si="67"/>
        <v>0</v>
      </c>
      <c r="U198" s="213">
        <v>12</v>
      </c>
      <c r="V198" s="214"/>
      <c r="W198" s="214"/>
      <c r="X198" s="214"/>
      <c r="Y198" s="214"/>
      <c r="Z198" s="183">
        <v>27.824999999999999</v>
      </c>
      <c r="AA198" s="184" t="s">
        <v>217</v>
      </c>
      <c r="AB198" s="176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21.95" customHeight="1">
      <c r="A199" s="248" t="s">
        <v>79</v>
      </c>
      <c r="B199" s="249"/>
      <c r="C199" s="39"/>
      <c r="D199" s="39"/>
      <c r="E199" s="39"/>
      <c r="F199" s="39"/>
      <c r="G199" s="39"/>
      <c r="H199" s="39"/>
      <c r="I199" s="39"/>
      <c r="J199" s="39"/>
      <c r="K199" s="39"/>
      <c r="L199" s="3"/>
      <c r="M199" s="3"/>
      <c r="N199" s="3"/>
      <c r="O199" s="3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176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21.95" customHeight="1">
      <c r="A200" s="93">
        <v>1055</v>
      </c>
      <c r="B200" s="38" t="s">
        <v>255</v>
      </c>
      <c r="C200" s="54"/>
      <c r="D200" s="165">
        <v>15.6</v>
      </c>
      <c r="E200" s="177">
        <f t="shared" si="61"/>
        <v>0</v>
      </c>
      <c r="F200" s="177">
        <f t="shared" si="62"/>
        <v>0</v>
      </c>
      <c r="G200" s="58"/>
      <c r="H200" s="177"/>
      <c r="I200" s="59">
        <v>7.0000000000000007E-2</v>
      </c>
      <c r="J200" s="59"/>
      <c r="K200" s="177">
        <f t="shared" si="63"/>
        <v>0</v>
      </c>
      <c r="L200" s="178">
        <v>0.20499999999999999</v>
      </c>
      <c r="M200" s="177"/>
      <c r="N200" s="177"/>
      <c r="O200" s="177">
        <f t="shared" si="64"/>
        <v>0</v>
      </c>
      <c r="P200" s="177">
        <f t="shared" si="65"/>
        <v>0</v>
      </c>
      <c r="Q200" s="185">
        <v>0.14299999999999999</v>
      </c>
      <c r="R200" s="180">
        <f t="shared" si="59"/>
        <v>0</v>
      </c>
      <c r="S200" s="180">
        <f t="shared" si="66"/>
        <v>0</v>
      </c>
      <c r="T200" s="181">
        <f t="shared" si="67"/>
        <v>0</v>
      </c>
      <c r="U200" s="213">
        <v>12</v>
      </c>
      <c r="V200" s="214"/>
      <c r="W200" s="214"/>
      <c r="X200" s="214"/>
      <c r="Y200" s="214"/>
      <c r="Z200" s="183">
        <v>27.824999999999999</v>
      </c>
      <c r="AA200" s="184" t="s">
        <v>217</v>
      </c>
      <c r="AB200" s="176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21.95" customHeight="1">
      <c r="A201" s="11">
        <v>1046</v>
      </c>
      <c r="B201" s="38" t="s">
        <v>80</v>
      </c>
      <c r="C201" s="54"/>
      <c r="D201" s="165">
        <v>15.6</v>
      </c>
      <c r="E201" s="177">
        <f t="shared" si="61"/>
        <v>0</v>
      </c>
      <c r="F201" s="177">
        <f t="shared" si="62"/>
        <v>0</v>
      </c>
      <c r="G201" s="58"/>
      <c r="H201" s="177"/>
      <c r="I201" s="59">
        <v>7.0000000000000007E-2</v>
      </c>
      <c r="J201" s="59"/>
      <c r="K201" s="177">
        <f t="shared" si="63"/>
        <v>0</v>
      </c>
      <c r="L201" s="178">
        <v>0.20499999999999999</v>
      </c>
      <c r="M201" s="177"/>
      <c r="N201" s="177"/>
      <c r="O201" s="177">
        <f t="shared" si="64"/>
        <v>0</v>
      </c>
      <c r="P201" s="177">
        <f t="shared" si="65"/>
        <v>0</v>
      </c>
      <c r="Q201" s="185">
        <v>0.14299999999999999</v>
      </c>
      <c r="R201" s="180">
        <f t="shared" si="59"/>
        <v>0</v>
      </c>
      <c r="S201" s="180">
        <f t="shared" si="66"/>
        <v>0</v>
      </c>
      <c r="T201" s="181">
        <f t="shared" si="67"/>
        <v>0</v>
      </c>
      <c r="U201" s="213">
        <v>12</v>
      </c>
      <c r="V201" s="214"/>
      <c r="W201" s="214"/>
      <c r="X201" s="214"/>
      <c r="Y201" s="214"/>
      <c r="Z201" s="183">
        <v>27.824999999999999</v>
      </c>
      <c r="AA201" s="184" t="s">
        <v>217</v>
      </c>
      <c r="AB201" s="176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21.95" customHeight="1">
      <c r="A202" s="11">
        <v>1047</v>
      </c>
      <c r="B202" s="38" t="s">
        <v>81</v>
      </c>
      <c r="C202" s="54"/>
      <c r="D202" s="165">
        <v>15.6</v>
      </c>
      <c r="E202" s="177">
        <f t="shared" si="61"/>
        <v>0</v>
      </c>
      <c r="F202" s="177">
        <f t="shared" si="62"/>
        <v>0</v>
      </c>
      <c r="G202" s="58"/>
      <c r="H202" s="177"/>
      <c r="I202" s="59">
        <v>7.0000000000000007E-2</v>
      </c>
      <c r="J202" s="59"/>
      <c r="K202" s="177">
        <f t="shared" si="63"/>
        <v>0</v>
      </c>
      <c r="L202" s="178">
        <v>0.20499999999999999</v>
      </c>
      <c r="M202" s="177"/>
      <c r="N202" s="177"/>
      <c r="O202" s="177">
        <f t="shared" si="64"/>
        <v>0</v>
      </c>
      <c r="P202" s="177">
        <f t="shared" si="65"/>
        <v>0</v>
      </c>
      <c r="Q202" s="185">
        <v>0.14299999999999999</v>
      </c>
      <c r="R202" s="180">
        <f t="shared" si="59"/>
        <v>0</v>
      </c>
      <c r="S202" s="180">
        <f t="shared" si="66"/>
        <v>0</v>
      </c>
      <c r="T202" s="181">
        <f t="shared" si="67"/>
        <v>0</v>
      </c>
      <c r="U202" s="213">
        <v>12</v>
      </c>
      <c r="V202" s="214"/>
      <c r="W202" s="214"/>
      <c r="X202" s="214"/>
      <c r="Y202" s="214"/>
      <c r="Z202" s="183">
        <v>27.824999999999999</v>
      </c>
      <c r="AA202" s="184" t="s">
        <v>217</v>
      </c>
      <c r="AB202" s="176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21.95" customHeight="1">
      <c r="A203" s="11">
        <v>1048</v>
      </c>
      <c r="B203" s="38" t="s">
        <v>82</v>
      </c>
      <c r="C203" s="54"/>
      <c r="D203" s="165">
        <v>15.6</v>
      </c>
      <c r="E203" s="177">
        <f t="shared" si="61"/>
        <v>0</v>
      </c>
      <c r="F203" s="177">
        <f t="shared" si="62"/>
        <v>0</v>
      </c>
      <c r="G203" s="58"/>
      <c r="H203" s="177"/>
      <c r="I203" s="59">
        <v>7.0000000000000007E-2</v>
      </c>
      <c r="J203" s="59"/>
      <c r="K203" s="177">
        <f t="shared" si="63"/>
        <v>0</v>
      </c>
      <c r="L203" s="178">
        <v>0.20499999999999999</v>
      </c>
      <c r="M203" s="177"/>
      <c r="N203" s="177"/>
      <c r="O203" s="177">
        <f t="shared" si="64"/>
        <v>0</v>
      </c>
      <c r="P203" s="177">
        <f t="shared" si="65"/>
        <v>0</v>
      </c>
      <c r="Q203" s="185">
        <v>0.14299999999999999</v>
      </c>
      <c r="R203" s="180">
        <f t="shared" si="59"/>
        <v>0</v>
      </c>
      <c r="S203" s="180">
        <f t="shared" si="66"/>
        <v>0</v>
      </c>
      <c r="T203" s="181">
        <f t="shared" si="67"/>
        <v>0</v>
      </c>
      <c r="U203" s="213">
        <v>12</v>
      </c>
      <c r="V203" s="214"/>
      <c r="W203" s="215"/>
      <c r="X203" s="214"/>
      <c r="Y203" s="215"/>
      <c r="Z203" s="183">
        <v>27.824999999999999</v>
      </c>
      <c r="AA203" s="184" t="s">
        <v>217</v>
      </c>
      <c r="AB203" s="176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21.95" customHeight="1">
      <c r="A204" s="11">
        <v>1049</v>
      </c>
      <c r="B204" s="38" t="s">
        <v>83</v>
      </c>
      <c r="C204" s="54"/>
      <c r="D204" s="165">
        <v>15.6</v>
      </c>
      <c r="E204" s="177">
        <f t="shared" si="61"/>
        <v>0</v>
      </c>
      <c r="F204" s="177">
        <f t="shared" si="62"/>
        <v>0</v>
      </c>
      <c r="G204" s="58"/>
      <c r="H204" s="177"/>
      <c r="I204" s="59">
        <v>7.0000000000000007E-2</v>
      </c>
      <c r="J204" s="59"/>
      <c r="K204" s="177">
        <f t="shared" si="63"/>
        <v>0</v>
      </c>
      <c r="L204" s="178">
        <v>0.20499999999999999</v>
      </c>
      <c r="M204" s="177"/>
      <c r="N204" s="177"/>
      <c r="O204" s="177">
        <f t="shared" si="64"/>
        <v>0</v>
      </c>
      <c r="P204" s="177">
        <f t="shared" si="65"/>
        <v>0</v>
      </c>
      <c r="Q204" s="185">
        <v>0.14299999999999999</v>
      </c>
      <c r="R204" s="180">
        <f t="shared" si="59"/>
        <v>0</v>
      </c>
      <c r="S204" s="180">
        <f t="shared" si="66"/>
        <v>0</v>
      </c>
      <c r="T204" s="181">
        <f t="shared" si="67"/>
        <v>0</v>
      </c>
      <c r="U204" s="213">
        <v>12</v>
      </c>
      <c r="V204" s="214"/>
      <c r="W204" s="215"/>
      <c r="X204" s="214"/>
      <c r="Y204" s="215"/>
      <c r="Z204" s="183">
        <v>27.824999999999999</v>
      </c>
      <c r="AA204" s="184" t="s">
        <v>217</v>
      </c>
      <c r="AB204" s="176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21.95" customHeight="1">
      <c r="A205" s="93">
        <v>1059</v>
      </c>
      <c r="B205" s="38" t="s">
        <v>256</v>
      </c>
      <c r="C205" s="54"/>
      <c r="D205" s="165">
        <v>15.6</v>
      </c>
      <c r="E205" s="177">
        <f t="shared" si="61"/>
        <v>0</v>
      </c>
      <c r="F205" s="177">
        <f t="shared" si="62"/>
        <v>0</v>
      </c>
      <c r="G205" s="58"/>
      <c r="H205" s="177"/>
      <c r="I205" s="59">
        <v>7.0000000000000007E-2</v>
      </c>
      <c r="J205" s="59"/>
      <c r="K205" s="177">
        <f t="shared" si="63"/>
        <v>0</v>
      </c>
      <c r="L205" s="178">
        <v>0.20499999999999999</v>
      </c>
      <c r="M205" s="177"/>
      <c r="N205" s="177"/>
      <c r="O205" s="177">
        <f t="shared" si="64"/>
        <v>0</v>
      </c>
      <c r="P205" s="177">
        <f t="shared" si="65"/>
        <v>0</v>
      </c>
      <c r="Q205" s="185">
        <v>0.14299999999999999</v>
      </c>
      <c r="R205" s="180">
        <f t="shared" si="59"/>
        <v>0</v>
      </c>
      <c r="S205" s="180">
        <f t="shared" si="66"/>
        <v>0</v>
      </c>
      <c r="T205" s="181">
        <f t="shared" si="67"/>
        <v>0</v>
      </c>
      <c r="U205" s="213">
        <v>12</v>
      </c>
      <c r="V205" s="214"/>
      <c r="W205" s="215"/>
      <c r="X205" s="214"/>
      <c r="Y205" s="215"/>
      <c r="Z205" s="183">
        <v>27.824999999999999</v>
      </c>
      <c r="AA205" s="216" t="s">
        <v>217</v>
      </c>
      <c r="AB205" s="176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21.95" customHeight="1">
      <c r="A206" s="49" t="s">
        <v>6</v>
      </c>
      <c r="B206" s="49" t="s">
        <v>97</v>
      </c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176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21.95" customHeight="1">
      <c r="A207" s="11">
        <v>9010</v>
      </c>
      <c r="B207" s="40" t="s">
        <v>98</v>
      </c>
      <c r="C207" s="55"/>
      <c r="D207" s="166">
        <v>31</v>
      </c>
      <c r="E207" s="177">
        <f t="shared" si="61"/>
        <v>0</v>
      </c>
      <c r="F207" s="177">
        <f t="shared" si="62"/>
        <v>0</v>
      </c>
      <c r="G207" s="58"/>
      <c r="H207" s="177"/>
      <c r="I207" s="59">
        <v>7.0000000000000007E-2</v>
      </c>
      <c r="J207" s="59"/>
      <c r="K207" s="177">
        <f t="shared" si="63"/>
        <v>0</v>
      </c>
      <c r="L207" s="178">
        <v>0.20499999999999999</v>
      </c>
      <c r="M207" s="177"/>
      <c r="N207" s="177"/>
      <c r="O207" s="177">
        <f>(N207*L207-M207)+K207</f>
        <v>0</v>
      </c>
      <c r="P207" s="177">
        <f t="shared" si="65"/>
        <v>0</v>
      </c>
      <c r="Q207" s="179">
        <v>3.2500000000000001E-2</v>
      </c>
      <c r="R207" s="180">
        <f t="shared" si="59"/>
        <v>0</v>
      </c>
      <c r="S207" s="180">
        <f t="shared" si="66"/>
        <v>0</v>
      </c>
      <c r="T207" s="181">
        <f>C207/U207</f>
        <v>0</v>
      </c>
      <c r="U207" s="217">
        <v>12</v>
      </c>
      <c r="V207" s="214"/>
      <c r="W207" s="214"/>
      <c r="X207" s="214"/>
      <c r="Y207" s="214"/>
      <c r="Z207" s="183">
        <v>101.85</v>
      </c>
      <c r="AA207" s="191">
        <v>136.5</v>
      </c>
      <c r="AB207" s="176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21.95" customHeight="1">
      <c r="A208" s="11">
        <v>9011</v>
      </c>
      <c r="B208" s="41" t="s">
        <v>99</v>
      </c>
      <c r="C208" s="55"/>
      <c r="D208" s="166">
        <v>74</v>
      </c>
      <c r="E208" s="177">
        <f t="shared" si="61"/>
        <v>0</v>
      </c>
      <c r="F208" s="177">
        <f t="shared" si="62"/>
        <v>0</v>
      </c>
      <c r="G208" s="58"/>
      <c r="H208" s="177"/>
      <c r="I208" s="59">
        <v>7.0000000000000007E-2</v>
      </c>
      <c r="J208" s="59"/>
      <c r="K208" s="177">
        <f t="shared" si="63"/>
        <v>0</v>
      </c>
      <c r="L208" s="178">
        <v>0.20499999999999999</v>
      </c>
      <c r="M208" s="177"/>
      <c r="N208" s="177"/>
      <c r="O208" s="177">
        <f t="shared" si="64"/>
        <v>0</v>
      </c>
      <c r="P208" s="177">
        <f t="shared" si="65"/>
        <v>0</v>
      </c>
      <c r="Q208" s="179">
        <v>3.2500000000000001E-2</v>
      </c>
      <c r="R208" s="180">
        <f t="shared" si="59"/>
        <v>0</v>
      </c>
      <c r="S208" s="180">
        <f t="shared" si="66"/>
        <v>0</v>
      </c>
      <c r="T208" s="181">
        <f t="shared" ref="T208:T223" si="68">C208/U208</f>
        <v>0</v>
      </c>
      <c r="U208" s="217">
        <v>12</v>
      </c>
      <c r="V208" s="214"/>
      <c r="W208" s="214"/>
      <c r="X208" s="214"/>
      <c r="Y208" s="214"/>
      <c r="Z208" s="183">
        <v>223.65</v>
      </c>
      <c r="AA208" s="191">
        <v>298.2</v>
      </c>
      <c r="AB208" s="176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21.95" customHeight="1">
      <c r="A209" s="11">
        <v>9012</v>
      </c>
      <c r="B209" s="41" t="s">
        <v>100</v>
      </c>
      <c r="C209" s="55"/>
      <c r="D209" s="166">
        <v>30</v>
      </c>
      <c r="E209" s="177">
        <f t="shared" si="61"/>
        <v>0</v>
      </c>
      <c r="F209" s="177">
        <f t="shared" si="62"/>
        <v>0</v>
      </c>
      <c r="G209" s="58"/>
      <c r="H209" s="177"/>
      <c r="I209" s="59">
        <v>7.0000000000000007E-2</v>
      </c>
      <c r="J209" s="59"/>
      <c r="K209" s="177">
        <f t="shared" si="63"/>
        <v>0</v>
      </c>
      <c r="L209" s="178">
        <v>0.20499999999999999</v>
      </c>
      <c r="M209" s="177"/>
      <c r="N209" s="177"/>
      <c r="O209" s="177">
        <f t="shared" si="64"/>
        <v>0</v>
      </c>
      <c r="P209" s="177">
        <f t="shared" si="65"/>
        <v>0</v>
      </c>
      <c r="Q209" s="179">
        <v>3.2500000000000001E-2</v>
      </c>
      <c r="R209" s="180">
        <f t="shared" si="59"/>
        <v>0</v>
      </c>
      <c r="S209" s="180">
        <f t="shared" si="66"/>
        <v>0</v>
      </c>
      <c r="T209" s="181">
        <f t="shared" si="68"/>
        <v>0</v>
      </c>
      <c r="U209" s="217">
        <v>12</v>
      </c>
      <c r="V209" s="214"/>
      <c r="W209" s="214"/>
      <c r="X209" s="214"/>
      <c r="Y209" s="214"/>
      <c r="Z209" s="183">
        <v>70.349999999999994</v>
      </c>
      <c r="AA209" s="191">
        <v>93.45</v>
      </c>
      <c r="AB209" s="176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21.95" customHeight="1">
      <c r="A210" s="11">
        <v>9013</v>
      </c>
      <c r="B210" s="41" t="s">
        <v>101</v>
      </c>
      <c r="C210" s="55"/>
      <c r="D210" s="166">
        <v>39</v>
      </c>
      <c r="E210" s="177">
        <f t="shared" si="61"/>
        <v>0</v>
      </c>
      <c r="F210" s="177">
        <f t="shared" si="62"/>
        <v>0</v>
      </c>
      <c r="G210" s="58"/>
      <c r="H210" s="177"/>
      <c r="I210" s="59">
        <v>7.0000000000000007E-2</v>
      </c>
      <c r="J210" s="59"/>
      <c r="K210" s="177">
        <f t="shared" si="63"/>
        <v>0</v>
      </c>
      <c r="L210" s="178">
        <v>0.20499999999999999</v>
      </c>
      <c r="M210" s="177"/>
      <c r="N210" s="177"/>
      <c r="O210" s="177">
        <f t="shared" si="64"/>
        <v>0</v>
      </c>
      <c r="P210" s="177">
        <f t="shared" si="65"/>
        <v>0</v>
      </c>
      <c r="Q210" s="179">
        <v>3.2500000000000001E-2</v>
      </c>
      <c r="R210" s="180">
        <f t="shared" si="59"/>
        <v>0</v>
      </c>
      <c r="S210" s="180">
        <f t="shared" si="66"/>
        <v>0</v>
      </c>
      <c r="T210" s="181">
        <f t="shared" si="68"/>
        <v>0</v>
      </c>
      <c r="U210" s="217">
        <v>12</v>
      </c>
      <c r="V210" s="214"/>
      <c r="W210" s="214"/>
      <c r="X210" s="214"/>
      <c r="Y210" s="214"/>
      <c r="Z210" s="183">
        <v>126</v>
      </c>
      <c r="AA210" s="191">
        <v>168</v>
      </c>
      <c r="AB210" s="176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21.95" customHeight="1">
      <c r="A211" s="11">
        <v>9019</v>
      </c>
      <c r="B211" s="42" t="s">
        <v>102</v>
      </c>
      <c r="C211" s="55"/>
      <c r="D211" s="157">
        <v>38</v>
      </c>
      <c r="E211" s="177">
        <f t="shared" si="61"/>
        <v>0</v>
      </c>
      <c r="F211" s="177">
        <f t="shared" si="62"/>
        <v>0</v>
      </c>
      <c r="G211" s="58"/>
      <c r="H211" s="177"/>
      <c r="I211" s="59">
        <v>7.0000000000000007E-2</v>
      </c>
      <c r="J211" s="59"/>
      <c r="K211" s="177">
        <f t="shared" si="63"/>
        <v>0</v>
      </c>
      <c r="L211" s="178">
        <v>0.20499999999999999</v>
      </c>
      <c r="M211" s="177"/>
      <c r="N211" s="177"/>
      <c r="O211" s="177">
        <f t="shared" si="64"/>
        <v>0</v>
      </c>
      <c r="P211" s="177">
        <f t="shared" si="65"/>
        <v>0</v>
      </c>
      <c r="Q211" s="179">
        <v>3.2500000000000001E-2</v>
      </c>
      <c r="R211" s="180">
        <f t="shared" si="59"/>
        <v>0</v>
      </c>
      <c r="S211" s="180">
        <f t="shared" si="66"/>
        <v>0</v>
      </c>
      <c r="T211" s="181">
        <f t="shared" si="68"/>
        <v>0</v>
      </c>
      <c r="U211" s="218">
        <v>12</v>
      </c>
      <c r="V211" s="214"/>
      <c r="W211" s="214"/>
      <c r="X211" s="214"/>
      <c r="Y211" s="214"/>
      <c r="Z211" s="183">
        <v>153.30000000000001</v>
      </c>
      <c r="AA211" s="191">
        <v>204.75</v>
      </c>
      <c r="AB211" s="176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21.95" customHeight="1">
      <c r="A212" s="11">
        <v>9021</v>
      </c>
      <c r="B212" s="42" t="s">
        <v>103</v>
      </c>
      <c r="C212" s="55"/>
      <c r="D212" s="157">
        <v>58</v>
      </c>
      <c r="E212" s="177">
        <f t="shared" si="61"/>
        <v>0</v>
      </c>
      <c r="F212" s="177">
        <f t="shared" si="62"/>
        <v>0</v>
      </c>
      <c r="G212" s="58"/>
      <c r="H212" s="177"/>
      <c r="I212" s="59">
        <v>7.0000000000000007E-2</v>
      </c>
      <c r="J212" s="59"/>
      <c r="K212" s="177">
        <f t="shared" si="63"/>
        <v>0</v>
      </c>
      <c r="L212" s="178">
        <v>0.20499999999999999</v>
      </c>
      <c r="M212" s="177"/>
      <c r="N212" s="177"/>
      <c r="O212" s="177">
        <f t="shared" si="64"/>
        <v>0</v>
      </c>
      <c r="P212" s="177">
        <f t="shared" si="65"/>
        <v>0</v>
      </c>
      <c r="Q212" s="179">
        <v>3.2500000000000001E-2</v>
      </c>
      <c r="R212" s="180">
        <f t="shared" si="59"/>
        <v>0</v>
      </c>
      <c r="S212" s="180">
        <f t="shared" si="66"/>
        <v>0</v>
      </c>
      <c r="T212" s="181">
        <f t="shared" si="68"/>
        <v>0</v>
      </c>
      <c r="U212" s="218">
        <v>12</v>
      </c>
      <c r="V212" s="214"/>
      <c r="W212" s="214"/>
      <c r="X212" s="214"/>
      <c r="Y212" s="214"/>
      <c r="Z212" s="183">
        <v>198.45</v>
      </c>
      <c r="AA212" s="191">
        <v>264.60000000000002</v>
      </c>
      <c r="AB212" s="176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21.95" customHeight="1">
      <c r="A213" s="11">
        <v>9020</v>
      </c>
      <c r="B213" s="42" t="s">
        <v>104</v>
      </c>
      <c r="C213" s="55"/>
      <c r="D213" s="157">
        <v>42.5</v>
      </c>
      <c r="E213" s="177">
        <f t="shared" si="61"/>
        <v>0</v>
      </c>
      <c r="F213" s="177">
        <f t="shared" si="62"/>
        <v>0</v>
      </c>
      <c r="G213" s="58"/>
      <c r="H213" s="177"/>
      <c r="I213" s="59">
        <v>7.0000000000000007E-2</v>
      </c>
      <c r="J213" s="59"/>
      <c r="K213" s="177">
        <f t="shared" si="63"/>
        <v>0</v>
      </c>
      <c r="L213" s="178">
        <v>0.20499999999999999</v>
      </c>
      <c r="M213" s="177"/>
      <c r="N213" s="177"/>
      <c r="O213" s="177">
        <f t="shared" si="64"/>
        <v>0</v>
      </c>
      <c r="P213" s="177">
        <f t="shared" si="65"/>
        <v>0</v>
      </c>
      <c r="Q213" s="179">
        <v>3.2500000000000001E-2</v>
      </c>
      <c r="R213" s="180">
        <f t="shared" si="59"/>
        <v>0</v>
      </c>
      <c r="S213" s="180">
        <f t="shared" si="66"/>
        <v>0</v>
      </c>
      <c r="T213" s="181">
        <f t="shared" si="68"/>
        <v>0</v>
      </c>
      <c r="U213" s="218">
        <v>12</v>
      </c>
      <c r="V213" s="214"/>
      <c r="W213" s="214"/>
      <c r="X213" s="214"/>
      <c r="Y213" s="214"/>
      <c r="Z213" s="183">
        <v>137.55000000000001</v>
      </c>
      <c r="AA213" s="191">
        <v>183.75</v>
      </c>
      <c r="AB213" s="176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21.95" customHeight="1">
      <c r="A214" s="11">
        <v>9018</v>
      </c>
      <c r="B214" s="42" t="s">
        <v>105</v>
      </c>
      <c r="C214" s="55"/>
      <c r="D214" s="157">
        <v>50</v>
      </c>
      <c r="E214" s="177">
        <f t="shared" si="61"/>
        <v>0</v>
      </c>
      <c r="F214" s="177">
        <f t="shared" si="62"/>
        <v>0</v>
      </c>
      <c r="G214" s="58"/>
      <c r="H214" s="177"/>
      <c r="I214" s="59">
        <v>7.0000000000000007E-2</v>
      </c>
      <c r="J214" s="59"/>
      <c r="K214" s="177">
        <f t="shared" si="63"/>
        <v>0</v>
      </c>
      <c r="L214" s="178">
        <v>0.20499999999999999</v>
      </c>
      <c r="M214" s="177"/>
      <c r="N214" s="177"/>
      <c r="O214" s="177">
        <f t="shared" si="64"/>
        <v>0</v>
      </c>
      <c r="P214" s="177">
        <f t="shared" si="65"/>
        <v>0</v>
      </c>
      <c r="Q214" s="179">
        <v>3.2500000000000001E-2</v>
      </c>
      <c r="R214" s="180">
        <f t="shared" si="59"/>
        <v>0</v>
      </c>
      <c r="S214" s="180">
        <f t="shared" si="66"/>
        <v>0</v>
      </c>
      <c r="T214" s="181">
        <f t="shared" si="68"/>
        <v>0</v>
      </c>
      <c r="U214" s="218">
        <v>12</v>
      </c>
      <c r="V214" s="214"/>
      <c r="W214" s="214"/>
      <c r="X214" s="214"/>
      <c r="Y214" s="214"/>
      <c r="Z214" s="183">
        <v>183.75</v>
      </c>
      <c r="AA214" s="191">
        <v>245.7</v>
      </c>
      <c r="AB214" s="176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21.95" customHeight="1">
      <c r="A215" s="11">
        <v>9016</v>
      </c>
      <c r="B215" s="43" t="s">
        <v>106</v>
      </c>
      <c r="C215" s="55"/>
      <c r="D215" s="167">
        <v>54.5</v>
      </c>
      <c r="E215" s="177">
        <f t="shared" si="61"/>
        <v>0</v>
      </c>
      <c r="F215" s="177">
        <f t="shared" si="62"/>
        <v>0</v>
      </c>
      <c r="G215" s="58"/>
      <c r="H215" s="177"/>
      <c r="I215" s="59">
        <v>7.0000000000000007E-2</v>
      </c>
      <c r="J215" s="59"/>
      <c r="K215" s="177">
        <f t="shared" si="63"/>
        <v>0</v>
      </c>
      <c r="L215" s="178">
        <v>0.20499999999999999</v>
      </c>
      <c r="M215" s="177"/>
      <c r="N215" s="177"/>
      <c r="O215" s="177">
        <f t="shared" si="64"/>
        <v>0</v>
      </c>
      <c r="P215" s="177">
        <f t="shared" si="65"/>
        <v>0</v>
      </c>
      <c r="Q215" s="179">
        <v>3.2500000000000001E-2</v>
      </c>
      <c r="R215" s="180">
        <f t="shared" si="59"/>
        <v>0</v>
      </c>
      <c r="S215" s="180">
        <f t="shared" si="66"/>
        <v>0</v>
      </c>
      <c r="T215" s="181">
        <f t="shared" si="68"/>
        <v>0</v>
      </c>
      <c r="U215" s="219">
        <v>12</v>
      </c>
      <c r="V215" s="214"/>
      <c r="W215" s="214"/>
      <c r="X215" s="214"/>
      <c r="Y215" s="214"/>
      <c r="Z215" s="183">
        <v>185.85</v>
      </c>
      <c r="AA215" s="191">
        <v>247.8</v>
      </c>
      <c r="AB215" s="176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21.95" customHeight="1">
      <c r="A216" s="11">
        <v>9015</v>
      </c>
      <c r="B216" s="43" t="s">
        <v>107</v>
      </c>
      <c r="C216" s="55"/>
      <c r="D216" s="167">
        <v>35.5</v>
      </c>
      <c r="E216" s="177">
        <f t="shared" si="61"/>
        <v>0</v>
      </c>
      <c r="F216" s="177">
        <f t="shared" si="62"/>
        <v>0</v>
      </c>
      <c r="G216" s="58"/>
      <c r="H216" s="177"/>
      <c r="I216" s="59">
        <v>7.0000000000000007E-2</v>
      </c>
      <c r="J216" s="59"/>
      <c r="K216" s="177">
        <f t="shared" si="63"/>
        <v>0</v>
      </c>
      <c r="L216" s="178">
        <v>0.20499999999999999</v>
      </c>
      <c r="M216" s="177"/>
      <c r="N216" s="177"/>
      <c r="O216" s="177">
        <f t="shared" si="64"/>
        <v>0</v>
      </c>
      <c r="P216" s="177">
        <f t="shared" si="65"/>
        <v>0</v>
      </c>
      <c r="Q216" s="179">
        <v>3.2500000000000001E-2</v>
      </c>
      <c r="R216" s="180">
        <f t="shared" si="59"/>
        <v>0</v>
      </c>
      <c r="S216" s="180">
        <f t="shared" si="66"/>
        <v>0</v>
      </c>
      <c r="T216" s="181">
        <f t="shared" si="68"/>
        <v>0</v>
      </c>
      <c r="U216" s="219">
        <v>12</v>
      </c>
      <c r="V216" s="214"/>
      <c r="W216" s="214"/>
      <c r="X216" s="214"/>
      <c r="Y216" s="214"/>
      <c r="Z216" s="183">
        <v>84</v>
      </c>
      <c r="AA216" s="191">
        <v>112.35</v>
      </c>
      <c r="AB216" s="176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21.95" customHeight="1">
      <c r="A217" s="11">
        <v>9014</v>
      </c>
      <c r="B217" s="43" t="s">
        <v>108</v>
      </c>
      <c r="C217" s="55"/>
      <c r="D217" s="167">
        <v>26</v>
      </c>
      <c r="E217" s="177">
        <f t="shared" si="61"/>
        <v>0</v>
      </c>
      <c r="F217" s="177">
        <f t="shared" si="62"/>
        <v>0</v>
      </c>
      <c r="G217" s="58"/>
      <c r="H217" s="177"/>
      <c r="I217" s="59">
        <v>7.0000000000000007E-2</v>
      </c>
      <c r="J217" s="59"/>
      <c r="K217" s="177">
        <f t="shared" si="63"/>
        <v>0</v>
      </c>
      <c r="L217" s="178">
        <v>0.20499999999999999</v>
      </c>
      <c r="M217" s="177"/>
      <c r="N217" s="177"/>
      <c r="O217" s="177">
        <f t="shared" si="64"/>
        <v>0</v>
      </c>
      <c r="P217" s="177">
        <f t="shared" si="65"/>
        <v>0</v>
      </c>
      <c r="Q217" s="179">
        <v>3.2500000000000001E-2</v>
      </c>
      <c r="R217" s="180">
        <f t="shared" si="59"/>
        <v>0</v>
      </c>
      <c r="S217" s="180">
        <f t="shared" si="66"/>
        <v>0</v>
      </c>
      <c r="T217" s="181">
        <f t="shared" si="68"/>
        <v>0</v>
      </c>
      <c r="U217" s="219">
        <v>12</v>
      </c>
      <c r="V217" s="214"/>
      <c r="W217" s="214"/>
      <c r="X217" s="214"/>
      <c r="Y217" s="214"/>
      <c r="Z217" s="183">
        <v>68.25</v>
      </c>
      <c r="AA217" s="191">
        <v>91.35</v>
      </c>
      <c r="AB217" s="176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21.95" customHeight="1">
      <c r="A218" s="11">
        <v>9017</v>
      </c>
      <c r="B218" s="43" t="s">
        <v>109</v>
      </c>
      <c r="C218" s="55"/>
      <c r="D218" s="167">
        <v>70</v>
      </c>
      <c r="E218" s="177">
        <f t="shared" si="61"/>
        <v>0</v>
      </c>
      <c r="F218" s="177">
        <f t="shared" si="62"/>
        <v>0</v>
      </c>
      <c r="G218" s="58"/>
      <c r="H218" s="177"/>
      <c r="I218" s="59">
        <v>7.0000000000000007E-2</v>
      </c>
      <c r="J218" s="59"/>
      <c r="K218" s="177">
        <f t="shared" si="63"/>
        <v>0</v>
      </c>
      <c r="L218" s="178">
        <v>0.20499999999999999</v>
      </c>
      <c r="M218" s="177"/>
      <c r="N218" s="177"/>
      <c r="O218" s="177">
        <f t="shared" si="64"/>
        <v>0</v>
      </c>
      <c r="P218" s="177">
        <f t="shared" si="65"/>
        <v>0</v>
      </c>
      <c r="Q218" s="179">
        <v>3.2500000000000001E-2</v>
      </c>
      <c r="R218" s="180">
        <f t="shared" ref="R218:R281" si="69">E218*Q218</f>
        <v>0</v>
      </c>
      <c r="S218" s="180">
        <f t="shared" si="66"/>
        <v>0</v>
      </c>
      <c r="T218" s="181">
        <f t="shared" si="68"/>
        <v>0</v>
      </c>
      <c r="U218" s="219">
        <v>12</v>
      </c>
      <c r="V218" s="214"/>
      <c r="W218" s="214"/>
      <c r="X218" s="214"/>
      <c r="Y218" s="214"/>
      <c r="Z218" s="183">
        <v>112.35</v>
      </c>
      <c r="AA218" s="191">
        <v>150.15</v>
      </c>
      <c r="AB218" s="176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21.95" customHeight="1">
      <c r="A219" s="11">
        <v>9023</v>
      </c>
      <c r="B219" s="60" t="s">
        <v>110</v>
      </c>
      <c r="C219" s="55"/>
      <c r="D219" s="168">
        <v>35</v>
      </c>
      <c r="E219" s="177">
        <f t="shared" si="61"/>
        <v>0</v>
      </c>
      <c r="F219" s="177">
        <f t="shared" si="62"/>
        <v>0</v>
      </c>
      <c r="G219" s="58"/>
      <c r="H219" s="177"/>
      <c r="I219" s="59">
        <v>7.0000000000000007E-2</v>
      </c>
      <c r="J219" s="59"/>
      <c r="K219" s="177">
        <f t="shared" si="63"/>
        <v>0</v>
      </c>
      <c r="L219" s="178">
        <v>0.20499999999999999</v>
      </c>
      <c r="M219" s="177"/>
      <c r="N219" s="177"/>
      <c r="O219" s="177">
        <f t="shared" si="64"/>
        <v>0</v>
      </c>
      <c r="P219" s="177">
        <f t="shared" si="65"/>
        <v>0</v>
      </c>
      <c r="Q219" s="185">
        <v>0</v>
      </c>
      <c r="R219" s="180">
        <f t="shared" si="69"/>
        <v>0</v>
      </c>
      <c r="S219" s="180">
        <f t="shared" si="66"/>
        <v>0</v>
      </c>
      <c r="T219" s="181">
        <f t="shared" si="68"/>
        <v>0</v>
      </c>
      <c r="U219" s="220">
        <v>24</v>
      </c>
      <c r="V219" s="214"/>
      <c r="W219" s="214"/>
      <c r="X219" s="214"/>
      <c r="Y219" s="214"/>
      <c r="Z219" s="183">
        <v>66.150000000000006</v>
      </c>
      <c r="AA219" s="191">
        <v>88.2</v>
      </c>
      <c r="AB219" s="176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21.95" customHeight="1">
      <c r="A220" s="11">
        <v>9022</v>
      </c>
      <c r="B220" s="61" t="s">
        <v>111</v>
      </c>
      <c r="C220" s="55"/>
      <c r="D220" s="169">
        <v>35</v>
      </c>
      <c r="E220" s="177">
        <f t="shared" si="61"/>
        <v>0</v>
      </c>
      <c r="F220" s="177">
        <f t="shared" si="62"/>
        <v>0</v>
      </c>
      <c r="G220" s="58"/>
      <c r="H220" s="177"/>
      <c r="I220" s="59">
        <v>7.0000000000000007E-2</v>
      </c>
      <c r="J220" s="59"/>
      <c r="K220" s="177">
        <f t="shared" si="63"/>
        <v>0</v>
      </c>
      <c r="L220" s="178">
        <v>0.20499999999999999</v>
      </c>
      <c r="M220" s="177"/>
      <c r="N220" s="177"/>
      <c r="O220" s="177">
        <f t="shared" si="64"/>
        <v>0</v>
      </c>
      <c r="P220" s="177">
        <f t="shared" si="65"/>
        <v>0</v>
      </c>
      <c r="Q220" s="185">
        <v>0</v>
      </c>
      <c r="R220" s="180">
        <f t="shared" si="69"/>
        <v>0</v>
      </c>
      <c r="S220" s="180">
        <f t="shared" si="66"/>
        <v>0</v>
      </c>
      <c r="T220" s="181">
        <f t="shared" si="68"/>
        <v>0</v>
      </c>
      <c r="U220" s="221">
        <v>24</v>
      </c>
      <c r="V220" s="214"/>
      <c r="W220" s="214"/>
      <c r="X220" s="214"/>
      <c r="Y220" s="214"/>
      <c r="Z220" s="183">
        <v>66.150000000000006</v>
      </c>
      <c r="AA220" s="191">
        <v>88.2</v>
      </c>
      <c r="AB220" s="176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21.95" customHeight="1">
      <c r="A221" s="11">
        <v>9026</v>
      </c>
      <c r="B221" s="44" t="s">
        <v>112</v>
      </c>
      <c r="C221" s="55"/>
      <c r="D221" s="170">
        <v>40</v>
      </c>
      <c r="E221" s="177">
        <f t="shared" si="61"/>
        <v>0</v>
      </c>
      <c r="F221" s="177">
        <f t="shared" si="62"/>
        <v>0</v>
      </c>
      <c r="G221" s="58"/>
      <c r="H221" s="177"/>
      <c r="I221" s="59">
        <v>7.0000000000000007E-2</v>
      </c>
      <c r="J221" s="59"/>
      <c r="K221" s="177">
        <f t="shared" si="63"/>
        <v>0</v>
      </c>
      <c r="L221" s="178">
        <v>0.20499999999999999</v>
      </c>
      <c r="M221" s="177"/>
      <c r="N221" s="177"/>
      <c r="O221" s="177">
        <f t="shared" si="64"/>
        <v>0</v>
      </c>
      <c r="P221" s="177">
        <f t="shared" si="65"/>
        <v>0</v>
      </c>
      <c r="Q221" s="185">
        <v>0</v>
      </c>
      <c r="R221" s="180">
        <f t="shared" si="69"/>
        <v>0</v>
      </c>
      <c r="S221" s="180">
        <f t="shared" si="66"/>
        <v>0</v>
      </c>
      <c r="T221" s="181">
        <f t="shared" si="68"/>
        <v>0</v>
      </c>
      <c r="U221" s="222">
        <v>12</v>
      </c>
      <c r="V221" s="214"/>
      <c r="W221" s="214"/>
      <c r="X221" s="214"/>
      <c r="Y221" s="214"/>
      <c r="Z221" s="183">
        <v>84</v>
      </c>
      <c r="AA221" s="191">
        <v>118.65</v>
      </c>
      <c r="AB221" s="176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21.95" customHeight="1">
      <c r="A222" s="11">
        <v>9024</v>
      </c>
      <c r="B222" s="45" t="s">
        <v>113</v>
      </c>
      <c r="C222" s="55"/>
      <c r="D222" s="144">
        <v>22</v>
      </c>
      <c r="E222" s="177">
        <f>D222*C222</f>
        <v>0</v>
      </c>
      <c r="F222" s="177">
        <f t="shared" si="62"/>
        <v>0</v>
      </c>
      <c r="G222" s="58"/>
      <c r="H222" s="177"/>
      <c r="I222" s="59">
        <v>7.0000000000000007E-2</v>
      </c>
      <c r="J222" s="59"/>
      <c r="K222" s="177">
        <f t="shared" si="63"/>
        <v>0</v>
      </c>
      <c r="L222" s="178">
        <v>0.20499999999999999</v>
      </c>
      <c r="M222" s="177"/>
      <c r="N222" s="177"/>
      <c r="O222" s="177">
        <f t="shared" si="64"/>
        <v>0</v>
      </c>
      <c r="P222" s="177">
        <f t="shared" si="65"/>
        <v>0</v>
      </c>
      <c r="Q222" s="185">
        <v>6.5000000000000002E-2</v>
      </c>
      <c r="R222" s="180">
        <f t="shared" si="69"/>
        <v>0</v>
      </c>
      <c r="S222" s="180">
        <f t="shared" si="66"/>
        <v>0</v>
      </c>
      <c r="T222" s="181">
        <f t="shared" si="68"/>
        <v>0</v>
      </c>
      <c r="U222" s="223">
        <v>12</v>
      </c>
      <c r="V222" s="214"/>
      <c r="W222" s="214"/>
      <c r="X222" s="214"/>
      <c r="Y222" s="214"/>
      <c r="Z222" s="183">
        <v>52.5</v>
      </c>
      <c r="AA222" s="191">
        <v>73.5</v>
      </c>
      <c r="AB222" s="176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21.95" customHeight="1">
      <c r="A223" s="11">
        <v>9025</v>
      </c>
      <c r="B223" s="45" t="s">
        <v>114</v>
      </c>
      <c r="C223" s="55"/>
      <c r="D223" s="144">
        <v>30</v>
      </c>
      <c r="E223" s="177">
        <f t="shared" si="61"/>
        <v>0</v>
      </c>
      <c r="F223" s="177">
        <f t="shared" si="62"/>
        <v>0</v>
      </c>
      <c r="G223" s="58"/>
      <c r="H223" s="177"/>
      <c r="I223" s="59">
        <v>7.0000000000000007E-2</v>
      </c>
      <c r="J223" s="59"/>
      <c r="K223" s="177">
        <f t="shared" si="63"/>
        <v>0</v>
      </c>
      <c r="L223" s="178">
        <v>0.20499999999999999</v>
      </c>
      <c r="M223" s="177"/>
      <c r="N223" s="177"/>
      <c r="O223" s="177">
        <f t="shared" si="64"/>
        <v>0</v>
      </c>
      <c r="P223" s="177">
        <f t="shared" si="65"/>
        <v>0</v>
      </c>
      <c r="Q223" s="185">
        <v>0.14299999999999999</v>
      </c>
      <c r="R223" s="180">
        <f t="shared" si="69"/>
        <v>0</v>
      </c>
      <c r="S223" s="180">
        <f t="shared" si="66"/>
        <v>0</v>
      </c>
      <c r="T223" s="181">
        <f t="shared" si="68"/>
        <v>0</v>
      </c>
      <c r="U223" s="223">
        <v>12</v>
      </c>
      <c r="V223" s="214"/>
      <c r="W223" s="214"/>
      <c r="X223" s="214"/>
      <c r="Y223" s="214"/>
      <c r="Z223" s="183">
        <v>68.25</v>
      </c>
      <c r="AA223" s="191">
        <v>95.55</v>
      </c>
      <c r="AB223" s="176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21.95" customHeight="1">
      <c r="A224" s="49" t="s">
        <v>6</v>
      </c>
      <c r="B224" s="63" t="s">
        <v>84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176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21.95" customHeight="1">
      <c r="A225" s="93">
        <v>2022</v>
      </c>
      <c r="B225" s="246" t="s">
        <v>309</v>
      </c>
      <c r="C225" s="54"/>
      <c r="D225" s="91">
        <v>29.99</v>
      </c>
      <c r="E225" s="177">
        <f t="shared" ref="E225" si="70">D225*C225</f>
        <v>0</v>
      </c>
      <c r="F225" s="177">
        <f t="shared" ref="F225" si="71">E225+R225</f>
        <v>0</v>
      </c>
      <c r="G225" s="6"/>
      <c r="H225" s="5"/>
      <c r="I225" s="7"/>
      <c r="J225" s="7"/>
      <c r="K225" s="177">
        <f t="shared" ref="K225" si="72">N225*J225</f>
        <v>0</v>
      </c>
      <c r="L225" s="7"/>
      <c r="M225" s="5"/>
      <c r="N225" s="177"/>
      <c r="O225" s="177">
        <f t="shared" ref="O225" si="73">(N225*L225-M225)+K225</f>
        <v>0</v>
      </c>
      <c r="P225" s="177">
        <f t="shared" ref="P225" si="74">E225+O225</f>
        <v>0</v>
      </c>
      <c r="Q225" s="224">
        <v>0</v>
      </c>
      <c r="R225" s="180">
        <f t="shared" si="69"/>
        <v>0</v>
      </c>
      <c r="S225" s="180">
        <f t="shared" ref="S225" si="75">E225+R225+O225</f>
        <v>0</v>
      </c>
      <c r="T225" s="181"/>
      <c r="U225" s="214"/>
      <c r="V225" s="214"/>
      <c r="W225" s="214"/>
      <c r="X225" s="214"/>
      <c r="Y225" s="214"/>
      <c r="Z225" s="183">
        <v>41.926499999999997</v>
      </c>
      <c r="AA225" s="184" t="s">
        <v>217</v>
      </c>
      <c r="AB225" s="176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21.95" customHeight="1">
      <c r="A226" s="11">
        <v>5237</v>
      </c>
      <c r="B226" s="46" t="s">
        <v>117</v>
      </c>
      <c r="C226" s="54"/>
      <c r="D226" s="62">
        <v>49.61</v>
      </c>
      <c r="E226" s="177">
        <f t="shared" si="61"/>
        <v>0</v>
      </c>
      <c r="F226" s="177">
        <f t="shared" si="62"/>
        <v>0</v>
      </c>
      <c r="G226" s="6"/>
      <c r="H226" s="5"/>
      <c r="I226" s="7"/>
      <c r="J226" s="7"/>
      <c r="K226" s="177">
        <f t="shared" si="63"/>
        <v>0</v>
      </c>
      <c r="L226" s="7"/>
      <c r="M226" s="5"/>
      <c r="N226" s="177"/>
      <c r="O226" s="177">
        <f t="shared" si="64"/>
        <v>0</v>
      </c>
      <c r="P226" s="177">
        <f t="shared" si="65"/>
        <v>0</v>
      </c>
      <c r="Q226" s="224">
        <v>0</v>
      </c>
      <c r="R226" s="180">
        <f t="shared" si="69"/>
        <v>0</v>
      </c>
      <c r="S226" s="180">
        <f t="shared" si="66"/>
        <v>0</v>
      </c>
      <c r="T226" s="181"/>
      <c r="U226" s="214"/>
      <c r="V226" s="214"/>
      <c r="W226" s="214"/>
      <c r="X226" s="214"/>
      <c r="Y226" s="214"/>
      <c r="Z226" s="183">
        <v>57.172499999999999</v>
      </c>
      <c r="AA226" s="184" t="s">
        <v>217</v>
      </c>
      <c r="AB226" s="176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21.95" customHeight="1">
      <c r="A227" s="11">
        <v>5238</v>
      </c>
      <c r="B227" s="46" t="s">
        <v>118</v>
      </c>
      <c r="C227" s="54"/>
      <c r="D227" s="62">
        <v>49.61</v>
      </c>
      <c r="E227" s="177">
        <f t="shared" si="61"/>
        <v>0</v>
      </c>
      <c r="F227" s="177">
        <f t="shared" si="62"/>
        <v>0</v>
      </c>
      <c r="G227" s="6"/>
      <c r="H227" s="5"/>
      <c r="I227" s="7"/>
      <c r="J227" s="7"/>
      <c r="K227" s="177">
        <f t="shared" si="63"/>
        <v>0</v>
      </c>
      <c r="L227" s="7"/>
      <c r="M227" s="5"/>
      <c r="N227" s="177"/>
      <c r="O227" s="177">
        <f t="shared" si="64"/>
        <v>0</v>
      </c>
      <c r="P227" s="177">
        <f t="shared" si="65"/>
        <v>0</v>
      </c>
      <c r="Q227" s="224">
        <v>0</v>
      </c>
      <c r="R227" s="180">
        <f t="shared" si="69"/>
        <v>0</v>
      </c>
      <c r="S227" s="180">
        <f t="shared" si="66"/>
        <v>0</v>
      </c>
      <c r="T227" s="181"/>
      <c r="U227" s="214"/>
      <c r="V227" s="214"/>
      <c r="W227" s="214"/>
      <c r="X227" s="214"/>
      <c r="Y227" s="214"/>
      <c r="Z227" s="183">
        <v>57.172499999999999</v>
      </c>
      <c r="AA227" s="184" t="s">
        <v>217</v>
      </c>
      <c r="AB227" s="176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21.95" customHeight="1">
      <c r="A228" s="11">
        <v>1069</v>
      </c>
      <c r="B228" s="47" t="s">
        <v>257</v>
      </c>
      <c r="C228" s="54"/>
      <c r="D228" s="91">
        <v>72</v>
      </c>
      <c r="E228" s="177">
        <f t="shared" si="61"/>
        <v>0</v>
      </c>
      <c r="F228" s="177">
        <f t="shared" si="62"/>
        <v>0</v>
      </c>
      <c r="G228" s="6"/>
      <c r="H228" s="5"/>
      <c r="I228" s="7"/>
      <c r="J228" s="7"/>
      <c r="K228" s="177">
        <f t="shared" si="63"/>
        <v>0</v>
      </c>
      <c r="L228" s="7"/>
      <c r="M228" s="5"/>
      <c r="N228" s="177"/>
      <c r="O228" s="177">
        <f t="shared" si="64"/>
        <v>0</v>
      </c>
      <c r="P228" s="177">
        <f t="shared" si="65"/>
        <v>0</v>
      </c>
      <c r="Q228" s="224">
        <v>0</v>
      </c>
      <c r="R228" s="180">
        <f t="shared" si="69"/>
        <v>0</v>
      </c>
      <c r="S228" s="180">
        <f t="shared" si="66"/>
        <v>0</v>
      </c>
      <c r="T228" s="181"/>
      <c r="U228" s="214"/>
      <c r="V228" s="214"/>
      <c r="W228" s="214"/>
      <c r="X228" s="214"/>
      <c r="Y228" s="214"/>
      <c r="Z228" s="183">
        <v>87.25</v>
      </c>
      <c r="AA228" s="184" t="s">
        <v>217</v>
      </c>
      <c r="AB228" s="176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21.95" customHeight="1">
      <c r="A229" s="39">
        <v>1070</v>
      </c>
      <c r="B229" s="47" t="s">
        <v>258</v>
      </c>
      <c r="C229" s="54"/>
      <c r="D229" s="91">
        <v>3.2</v>
      </c>
      <c r="E229" s="177">
        <f t="shared" si="61"/>
        <v>0</v>
      </c>
      <c r="F229" s="177">
        <f t="shared" si="62"/>
        <v>0</v>
      </c>
      <c r="G229" s="6"/>
      <c r="H229" s="5"/>
      <c r="I229" s="7"/>
      <c r="J229" s="7"/>
      <c r="K229" s="177">
        <f t="shared" si="63"/>
        <v>0</v>
      </c>
      <c r="L229" s="7"/>
      <c r="M229" s="5"/>
      <c r="N229" s="177"/>
      <c r="O229" s="177">
        <f t="shared" si="64"/>
        <v>0</v>
      </c>
      <c r="P229" s="177">
        <f t="shared" si="65"/>
        <v>0</v>
      </c>
      <c r="Q229" s="224">
        <v>0</v>
      </c>
      <c r="R229" s="180">
        <f t="shared" si="69"/>
        <v>0</v>
      </c>
      <c r="S229" s="180"/>
      <c r="T229" s="181"/>
      <c r="U229" s="214"/>
      <c r="V229" s="214"/>
      <c r="W229" s="214"/>
      <c r="X229" s="214"/>
      <c r="Y229" s="214"/>
      <c r="Z229" s="183">
        <v>4.0999999999999996</v>
      </c>
      <c r="AA229" s="184" t="s">
        <v>217</v>
      </c>
      <c r="AB229" s="176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21.95" customHeight="1">
      <c r="A230" s="11">
        <v>1083</v>
      </c>
      <c r="B230" s="105" t="s">
        <v>119</v>
      </c>
      <c r="C230" s="54"/>
      <c r="D230" s="62">
        <v>97.91</v>
      </c>
      <c r="E230" s="177">
        <f t="shared" si="61"/>
        <v>0</v>
      </c>
      <c r="F230" s="177">
        <f t="shared" si="62"/>
        <v>0</v>
      </c>
      <c r="G230" s="6"/>
      <c r="H230" s="5"/>
      <c r="I230" s="7"/>
      <c r="J230" s="7"/>
      <c r="K230" s="177">
        <f t="shared" si="63"/>
        <v>0</v>
      </c>
      <c r="L230" s="7"/>
      <c r="M230" s="5"/>
      <c r="N230" s="177"/>
      <c r="O230" s="177">
        <f t="shared" si="64"/>
        <v>0</v>
      </c>
      <c r="P230" s="177">
        <f t="shared" si="65"/>
        <v>0</v>
      </c>
      <c r="Q230" s="224">
        <v>0</v>
      </c>
      <c r="R230" s="180">
        <f t="shared" si="69"/>
        <v>0</v>
      </c>
      <c r="S230" s="180">
        <f t="shared" si="66"/>
        <v>0</v>
      </c>
      <c r="T230" s="181"/>
      <c r="U230" s="214"/>
      <c r="V230" s="214"/>
      <c r="W230" s="214"/>
      <c r="X230" s="214"/>
      <c r="Y230" s="214"/>
      <c r="Z230" s="183">
        <v>60.031125000000003</v>
      </c>
      <c r="AA230" s="184" t="s">
        <v>217</v>
      </c>
      <c r="AB230" s="176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21.95" customHeight="1">
      <c r="A231" s="11">
        <v>1618</v>
      </c>
      <c r="B231" s="105" t="s">
        <v>120</v>
      </c>
      <c r="C231" s="54"/>
      <c r="D231" s="247">
        <v>73.87</v>
      </c>
      <c r="E231" s="177">
        <f t="shared" si="61"/>
        <v>0</v>
      </c>
      <c r="F231" s="177">
        <f t="shared" si="62"/>
        <v>0</v>
      </c>
      <c r="G231" s="6"/>
      <c r="H231" s="4"/>
      <c r="I231" s="6"/>
      <c r="J231" s="6"/>
      <c r="K231" s="177">
        <f t="shared" si="63"/>
        <v>0</v>
      </c>
      <c r="L231" s="6"/>
      <c r="M231" s="4"/>
      <c r="N231" s="177"/>
      <c r="O231" s="177">
        <f t="shared" si="64"/>
        <v>0</v>
      </c>
      <c r="P231" s="177">
        <f t="shared" si="65"/>
        <v>0</v>
      </c>
      <c r="Q231" s="224">
        <v>0</v>
      </c>
      <c r="R231" s="180">
        <f t="shared" si="69"/>
        <v>0</v>
      </c>
      <c r="S231" s="180">
        <f t="shared" si="66"/>
        <v>0</v>
      </c>
      <c r="T231" s="181"/>
      <c r="U231" s="214"/>
      <c r="V231" s="214"/>
      <c r="W231" s="214"/>
      <c r="X231" s="214"/>
      <c r="Y231" s="214"/>
      <c r="Z231" s="183">
        <v>85.123500000000007</v>
      </c>
      <c r="AA231" s="184" t="s">
        <v>217</v>
      </c>
      <c r="AB231" s="176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21.95" customHeight="1">
      <c r="A232" s="11">
        <v>1106</v>
      </c>
      <c r="B232" s="105" t="s">
        <v>121</v>
      </c>
      <c r="C232" s="54"/>
      <c r="D232" s="247">
        <v>63</v>
      </c>
      <c r="E232" s="177">
        <f t="shared" si="61"/>
        <v>0</v>
      </c>
      <c r="F232" s="177">
        <f t="shared" si="62"/>
        <v>0</v>
      </c>
      <c r="G232" s="58"/>
      <c r="H232" s="177"/>
      <c r="I232" s="59"/>
      <c r="J232" s="59"/>
      <c r="K232" s="177">
        <f t="shared" si="63"/>
        <v>0</v>
      </c>
      <c r="L232" s="59"/>
      <c r="M232" s="177"/>
      <c r="N232" s="177"/>
      <c r="O232" s="177">
        <f t="shared" si="64"/>
        <v>0</v>
      </c>
      <c r="P232" s="177">
        <f t="shared" si="65"/>
        <v>0</v>
      </c>
      <c r="Q232" s="225">
        <v>0</v>
      </c>
      <c r="R232" s="180">
        <f t="shared" si="69"/>
        <v>0</v>
      </c>
      <c r="S232" s="180">
        <f t="shared" si="66"/>
        <v>0</v>
      </c>
      <c r="T232" s="181"/>
      <c r="U232" s="214"/>
      <c r="V232" s="214"/>
      <c r="W232" s="214"/>
      <c r="X232" s="214"/>
      <c r="Y232" s="214"/>
      <c r="Z232" s="183">
        <v>57.172499999999999</v>
      </c>
      <c r="AA232" s="184" t="s">
        <v>217</v>
      </c>
      <c r="AB232" s="176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21.95" customHeight="1">
      <c r="A233" s="11">
        <v>1120</v>
      </c>
      <c r="B233" s="48" t="s">
        <v>122</v>
      </c>
      <c r="C233" s="54"/>
      <c r="D233" s="87">
        <v>99.23</v>
      </c>
      <c r="E233" s="177">
        <f t="shared" si="61"/>
        <v>0</v>
      </c>
      <c r="F233" s="177">
        <f t="shared" si="62"/>
        <v>0</v>
      </c>
      <c r="G233" s="58"/>
      <c r="H233" s="6"/>
      <c r="I233" s="6"/>
      <c r="J233" s="6"/>
      <c r="K233" s="177">
        <f t="shared" si="63"/>
        <v>0</v>
      </c>
      <c r="L233" s="7"/>
      <c r="M233" s="7"/>
      <c r="N233" s="177"/>
      <c r="O233" s="177">
        <f t="shared" si="64"/>
        <v>0</v>
      </c>
      <c r="P233" s="177">
        <f t="shared" si="65"/>
        <v>0</v>
      </c>
      <c r="Q233" s="224">
        <v>0</v>
      </c>
      <c r="R233" s="180">
        <f t="shared" si="69"/>
        <v>0</v>
      </c>
      <c r="S233" s="180">
        <f t="shared" si="66"/>
        <v>0</v>
      </c>
      <c r="T233" s="181"/>
      <c r="U233" s="214"/>
      <c r="V233" s="214"/>
      <c r="W233" s="214"/>
      <c r="X233" s="214"/>
      <c r="Y233" s="214"/>
      <c r="Z233" s="183">
        <v>114.345</v>
      </c>
      <c r="AA233" s="184" t="s">
        <v>217</v>
      </c>
      <c r="AB233" s="176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21.95" customHeight="1">
      <c r="A234" s="93">
        <v>907</v>
      </c>
      <c r="B234" s="48" t="s">
        <v>301</v>
      </c>
      <c r="C234" s="133"/>
      <c r="D234" s="91">
        <v>10</v>
      </c>
      <c r="E234" s="177">
        <f t="shared" si="61"/>
        <v>0</v>
      </c>
      <c r="F234" s="177">
        <f t="shared" si="62"/>
        <v>0</v>
      </c>
      <c r="G234" s="58"/>
      <c r="H234" s="6"/>
      <c r="I234" s="6"/>
      <c r="J234" s="6"/>
      <c r="K234" s="177">
        <f t="shared" si="63"/>
        <v>0</v>
      </c>
      <c r="L234" s="7"/>
      <c r="M234" s="7"/>
      <c r="N234" s="177"/>
      <c r="O234" s="177">
        <f t="shared" si="64"/>
        <v>0</v>
      </c>
      <c r="P234" s="177">
        <f t="shared" si="65"/>
        <v>0</v>
      </c>
      <c r="Q234" s="224">
        <v>0</v>
      </c>
      <c r="R234" s="180">
        <f t="shared" si="69"/>
        <v>0</v>
      </c>
      <c r="S234" s="180">
        <f t="shared" si="66"/>
        <v>0</v>
      </c>
      <c r="T234" s="181"/>
      <c r="U234" s="214"/>
      <c r="V234" s="214"/>
      <c r="W234" s="214"/>
      <c r="X234" s="214"/>
      <c r="Y234" s="214"/>
      <c r="Z234" s="183">
        <v>12.5</v>
      </c>
      <c r="AA234" s="184" t="s">
        <v>217</v>
      </c>
      <c r="AB234" s="176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21.95" customHeight="1">
      <c r="A235" s="93">
        <v>905</v>
      </c>
      <c r="B235" s="48" t="s">
        <v>302</v>
      </c>
      <c r="C235" s="133"/>
      <c r="D235" s="91">
        <v>10</v>
      </c>
      <c r="E235" s="177">
        <f t="shared" si="61"/>
        <v>0</v>
      </c>
      <c r="F235" s="177">
        <f t="shared" si="62"/>
        <v>0</v>
      </c>
      <c r="G235" s="58"/>
      <c r="H235" s="6"/>
      <c r="I235" s="6"/>
      <c r="J235" s="6"/>
      <c r="K235" s="177">
        <f t="shared" si="63"/>
        <v>0</v>
      </c>
      <c r="L235" s="7"/>
      <c r="M235" s="7"/>
      <c r="N235" s="177"/>
      <c r="O235" s="177">
        <f t="shared" si="64"/>
        <v>0</v>
      </c>
      <c r="P235" s="177">
        <f t="shared" si="65"/>
        <v>0</v>
      </c>
      <c r="Q235" s="224">
        <v>0</v>
      </c>
      <c r="R235" s="180">
        <f t="shared" si="69"/>
        <v>0</v>
      </c>
      <c r="S235" s="180">
        <f t="shared" si="66"/>
        <v>0</v>
      </c>
      <c r="T235" s="181"/>
      <c r="U235" s="214"/>
      <c r="V235" s="214"/>
      <c r="W235" s="214"/>
      <c r="X235" s="214"/>
      <c r="Y235" s="214"/>
      <c r="Z235" s="183">
        <v>12.5</v>
      </c>
      <c r="AA235" s="184" t="s">
        <v>217</v>
      </c>
      <c r="AB235" s="176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21.95" customHeight="1">
      <c r="A236" s="11">
        <v>1151</v>
      </c>
      <c r="B236" s="105" t="s">
        <v>123</v>
      </c>
      <c r="C236" s="54"/>
      <c r="D236" s="87">
        <v>22.38</v>
      </c>
      <c r="E236" s="177">
        <f t="shared" si="61"/>
        <v>0</v>
      </c>
      <c r="F236" s="177">
        <f t="shared" si="62"/>
        <v>0</v>
      </c>
      <c r="G236" s="58"/>
      <c r="H236" s="6"/>
      <c r="I236" s="6"/>
      <c r="J236" s="6"/>
      <c r="K236" s="177">
        <f t="shared" si="63"/>
        <v>0</v>
      </c>
      <c r="L236" s="6"/>
      <c r="M236" s="6"/>
      <c r="N236" s="177"/>
      <c r="O236" s="177">
        <f t="shared" si="64"/>
        <v>0</v>
      </c>
      <c r="P236" s="177">
        <f t="shared" si="65"/>
        <v>0</v>
      </c>
      <c r="Q236" s="224">
        <v>0</v>
      </c>
      <c r="R236" s="180">
        <f t="shared" si="69"/>
        <v>0</v>
      </c>
      <c r="S236" s="180">
        <f t="shared" si="66"/>
        <v>0</v>
      </c>
      <c r="T236" s="181"/>
      <c r="U236" s="214"/>
      <c r="V236" s="214"/>
      <c r="W236" s="214"/>
      <c r="X236" s="214"/>
      <c r="Y236" s="214"/>
      <c r="Z236" s="183">
        <v>28.967400000000001</v>
      </c>
      <c r="AA236" s="184" t="s">
        <v>217</v>
      </c>
      <c r="AB236" s="176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21.95" customHeight="1">
      <c r="A237" s="11">
        <v>5715</v>
      </c>
      <c r="B237" s="105" t="s">
        <v>85</v>
      </c>
      <c r="C237" s="54"/>
      <c r="D237" s="87">
        <v>83.68</v>
      </c>
      <c r="E237" s="177">
        <f t="shared" ref="E237:E249" si="76">D237*C237</f>
        <v>0</v>
      </c>
      <c r="F237" s="177">
        <f t="shared" ref="F237:F249" si="77">E237+R237</f>
        <v>0</v>
      </c>
      <c r="G237" s="58"/>
      <c r="H237" s="6"/>
      <c r="I237" s="6"/>
      <c r="J237" s="6"/>
      <c r="K237" s="177">
        <f t="shared" ref="K237:K249" si="78">N237*J237</f>
        <v>0</v>
      </c>
      <c r="L237" s="7"/>
      <c r="M237" s="7"/>
      <c r="N237" s="177"/>
      <c r="O237" s="177">
        <f t="shared" ref="O237:O249" si="79">(N237*L237-M237)+K237</f>
        <v>0</v>
      </c>
      <c r="P237" s="177">
        <f t="shared" ref="P237:P249" si="80">E237+O237</f>
        <v>0</v>
      </c>
      <c r="Q237" s="224">
        <v>0</v>
      </c>
      <c r="R237" s="180">
        <f t="shared" si="69"/>
        <v>0</v>
      </c>
      <c r="S237" s="180">
        <f t="shared" ref="S237:S250" si="81">E237+R237+O237</f>
        <v>0</v>
      </c>
      <c r="T237" s="181"/>
      <c r="U237" s="214"/>
      <c r="V237" s="214"/>
      <c r="W237" s="214"/>
      <c r="X237" s="214"/>
      <c r="Y237" s="214"/>
      <c r="Z237" s="183">
        <v>99.09899999999999</v>
      </c>
      <c r="AA237" s="184" t="s">
        <v>217</v>
      </c>
      <c r="AB237" s="176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21.95" customHeight="1">
      <c r="A238" s="11">
        <v>6439</v>
      </c>
      <c r="B238" s="105" t="s">
        <v>124</v>
      </c>
      <c r="C238" s="54"/>
      <c r="D238" s="87">
        <v>31.75</v>
      </c>
      <c r="E238" s="177">
        <f t="shared" si="76"/>
        <v>0</v>
      </c>
      <c r="F238" s="177">
        <f>E238+R238</f>
        <v>0</v>
      </c>
      <c r="G238" s="58"/>
      <c r="H238" s="7"/>
      <c r="I238" s="7"/>
      <c r="J238" s="7"/>
      <c r="K238" s="177">
        <f t="shared" si="78"/>
        <v>0</v>
      </c>
      <c r="L238" s="7"/>
      <c r="M238" s="7"/>
      <c r="N238" s="177"/>
      <c r="O238" s="177">
        <f t="shared" si="79"/>
        <v>0</v>
      </c>
      <c r="P238" s="177">
        <f t="shared" si="80"/>
        <v>0</v>
      </c>
      <c r="Q238" s="224">
        <v>0</v>
      </c>
      <c r="R238" s="180">
        <f t="shared" si="69"/>
        <v>0</v>
      </c>
      <c r="S238" s="180">
        <f t="shared" si="81"/>
        <v>0</v>
      </c>
      <c r="T238" s="181"/>
      <c r="U238" s="214"/>
      <c r="V238" s="214"/>
      <c r="W238" s="214"/>
      <c r="X238" s="214"/>
      <c r="Y238" s="214"/>
      <c r="Z238" s="183">
        <v>40.656000000000006</v>
      </c>
      <c r="AA238" s="184" t="s">
        <v>217</v>
      </c>
      <c r="AB238" s="176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21.95" customHeight="1">
      <c r="A239" s="11">
        <v>1176</v>
      </c>
      <c r="B239" s="105" t="s">
        <v>86</v>
      </c>
      <c r="C239" s="54"/>
      <c r="D239" s="87">
        <v>23.81</v>
      </c>
      <c r="E239" s="177">
        <f t="shared" si="76"/>
        <v>0</v>
      </c>
      <c r="F239" s="177">
        <f t="shared" si="77"/>
        <v>0</v>
      </c>
      <c r="G239" s="58"/>
      <c r="H239" s="7"/>
      <c r="I239" s="7"/>
      <c r="J239" s="7"/>
      <c r="K239" s="177">
        <f t="shared" si="78"/>
        <v>0</v>
      </c>
      <c r="L239" s="7"/>
      <c r="M239" s="7"/>
      <c r="N239" s="177"/>
      <c r="O239" s="177">
        <f t="shared" si="79"/>
        <v>0</v>
      </c>
      <c r="P239" s="177">
        <f t="shared" si="80"/>
        <v>0</v>
      </c>
      <c r="Q239" s="224">
        <v>0</v>
      </c>
      <c r="R239" s="180">
        <f t="shared" si="69"/>
        <v>0</v>
      </c>
      <c r="S239" s="180">
        <f t="shared" si="81"/>
        <v>0</v>
      </c>
      <c r="T239" s="181"/>
      <c r="U239" s="214"/>
      <c r="V239" s="214"/>
      <c r="W239" s="214"/>
      <c r="X239" s="214"/>
      <c r="Y239" s="214"/>
      <c r="Z239" s="183">
        <v>30.860445000000002</v>
      </c>
      <c r="AA239" s="184" t="s">
        <v>217</v>
      </c>
      <c r="AB239" s="176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21.95" customHeight="1">
      <c r="A240" s="11">
        <v>1182</v>
      </c>
      <c r="B240" s="105" t="s">
        <v>87</v>
      </c>
      <c r="C240" s="54"/>
      <c r="D240" s="87">
        <v>9</v>
      </c>
      <c r="E240" s="177">
        <f t="shared" si="76"/>
        <v>0</v>
      </c>
      <c r="F240" s="177">
        <f t="shared" si="77"/>
        <v>0</v>
      </c>
      <c r="G240" s="58"/>
      <c r="H240" s="7"/>
      <c r="I240" s="7"/>
      <c r="J240" s="7"/>
      <c r="K240" s="177">
        <f t="shared" si="78"/>
        <v>0</v>
      </c>
      <c r="L240" s="7"/>
      <c r="M240" s="7"/>
      <c r="N240" s="177"/>
      <c r="O240" s="177">
        <f t="shared" si="79"/>
        <v>0</v>
      </c>
      <c r="P240" s="177">
        <f t="shared" si="80"/>
        <v>0</v>
      </c>
      <c r="Q240" s="224">
        <v>0</v>
      </c>
      <c r="R240" s="180">
        <f t="shared" si="69"/>
        <v>0</v>
      </c>
      <c r="S240" s="180">
        <f t="shared" si="81"/>
        <v>0</v>
      </c>
      <c r="T240" s="181"/>
      <c r="U240" s="214"/>
      <c r="V240" s="214"/>
      <c r="W240" s="214"/>
      <c r="X240" s="214"/>
      <c r="Y240" s="214"/>
      <c r="Z240" s="183">
        <v>8.8935000000000013</v>
      </c>
      <c r="AA240" s="184" t="s">
        <v>217</v>
      </c>
      <c r="AB240" s="176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21.95" customHeight="1">
      <c r="A241" s="11">
        <v>1183</v>
      </c>
      <c r="B241" s="105" t="s">
        <v>88</v>
      </c>
      <c r="C241" s="54"/>
      <c r="D241" s="87">
        <v>5.7</v>
      </c>
      <c r="E241" s="177">
        <f t="shared" si="76"/>
        <v>0</v>
      </c>
      <c r="F241" s="177">
        <f t="shared" si="77"/>
        <v>0</v>
      </c>
      <c r="G241" s="58"/>
      <c r="H241" s="7"/>
      <c r="I241" s="7"/>
      <c r="J241" s="7"/>
      <c r="K241" s="177">
        <f t="shared" si="78"/>
        <v>0</v>
      </c>
      <c r="L241" s="7"/>
      <c r="M241" s="7"/>
      <c r="N241" s="177"/>
      <c r="O241" s="177">
        <f t="shared" si="79"/>
        <v>0</v>
      </c>
      <c r="P241" s="177">
        <f t="shared" si="80"/>
        <v>0</v>
      </c>
      <c r="Q241" s="224">
        <v>0</v>
      </c>
      <c r="R241" s="180">
        <f t="shared" si="69"/>
        <v>0</v>
      </c>
      <c r="S241" s="180">
        <f t="shared" si="81"/>
        <v>0</v>
      </c>
      <c r="T241" s="181"/>
      <c r="U241" s="214"/>
      <c r="V241" s="214"/>
      <c r="W241" s="214"/>
      <c r="X241" s="214"/>
      <c r="Y241" s="214"/>
      <c r="Z241" s="183">
        <v>6.3525</v>
      </c>
      <c r="AA241" s="184" t="s">
        <v>217</v>
      </c>
      <c r="AB241" s="176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21.95" customHeight="1">
      <c r="A242" s="11">
        <v>1540</v>
      </c>
      <c r="B242" s="48" t="s">
        <v>125</v>
      </c>
      <c r="C242" s="54"/>
      <c r="D242" s="87">
        <v>43.75</v>
      </c>
      <c r="E242" s="177">
        <f t="shared" si="76"/>
        <v>0</v>
      </c>
      <c r="F242" s="177">
        <f t="shared" si="77"/>
        <v>0</v>
      </c>
      <c r="G242" s="58"/>
      <c r="H242" s="7"/>
      <c r="I242" s="7"/>
      <c r="J242" s="7"/>
      <c r="K242" s="177">
        <f t="shared" si="78"/>
        <v>0</v>
      </c>
      <c r="L242" s="7"/>
      <c r="M242" s="7"/>
      <c r="N242" s="177"/>
      <c r="O242" s="177">
        <f t="shared" si="79"/>
        <v>0</v>
      </c>
      <c r="P242" s="177">
        <f t="shared" si="80"/>
        <v>0</v>
      </c>
      <c r="Q242" s="224">
        <v>0</v>
      </c>
      <c r="R242" s="180">
        <f t="shared" si="69"/>
        <v>0</v>
      </c>
      <c r="S242" s="180">
        <f t="shared" si="81"/>
        <v>0</v>
      </c>
      <c r="T242" s="181"/>
      <c r="U242" s="214"/>
      <c r="V242" s="214"/>
      <c r="W242" s="214"/>
      <c r="X242" s="214"/>
      <c r="Y242" s="214"/>
      <c r="Z242" s="183">
        <v>40.656000000000006</v>
      </c>
      <c r="AA242" s="184" t="s">
        <v>217</v>
      </c>
      <c r="AB242" s="24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21.95" customHeight="1">
      <c r="A243" s="11">
        <v>1412</v>
      </c>
      <c r="B243" s="48" t="s">
        <v>126</v>
      </c>
      <c r="C243" s="54"/>
      <c r="D243" s="87">
        <v>8.25</v>
      </c>
      <c r="E243" s="177">
        <f t="shared" si="76"/>
        <v>0</v>
      </c>
      <c r="F243" s="177">
        <f t="shared" si="77"/>
        <v>0</v>
      </c>
      <c r="G243" s="58"/>
      <c r="H243" s="177"/>
      <c r="I243" s="59"/>
      <c r="J243" s="59"/>
      <c r="K243" s="177">
        <f t="shared" si="78"/>
        <v>0</v>
      </c>
      <c r="L243" s="59"/>
      <c r="M243" s="177"/>
      <c r="N243" s="177"/>
      <c r="O243" s="177">
        <f t="shared" si="79"/>
        <v>0</v>
      </c>
      <c r="P243" s="177">
        <f t="shared" si="80"/>
        <v>0</v>
      </c>
      <c r="Q243" s="225">
        <v>0</v>
      </c>
      <c r="R243" s="180">
        <f t="shared" si="69"/>
        <v>0</v>
      </c>
      <c r="S243" s="180">
        <f t="shared" si="81"/>
        <v>0</v>
      </c>
      <c r="T243" s="181"/>
      <c r="U243" s="214"/>
      <c r="V243" s="214"/>
      <c r="W243" s="214"/>
      <c r="X243" s="214"/>
      <c r="Y243" s="214"/>
      <c r="Z243" s="183">
        <v>9.0840750000000003</v>
      </c>
      <c r="AA243" s="184" t="s">
        <v>217</v>
      </c>
      <c r="AB243" s="24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21.95" customHeight="1">
      <c r="A244" s="11">
        <v>1245</v>
      </c>
      <c r="B244" s="48" t="s">
        <v>127</v>
      </c>
      <c r="C244" s="54"/>
      <c r="D244" s="87">
        <v>23.15</v>
      </c>
      <c r="E244" s="177">
        <f t="shared" si="76"/>
        <v>0</v>
      </c>
      <c r="F244" s="177">
        <f t="shared" si="77"/>
        <v>0</v>
      </c>
      <c r="G244" s="6"/>
      <c r="H244" s="7"/>
      <c r="I244" s="7"/>
      <c r="J244" s="7"/>
      <c r="K244" s="177">
        <f t="shared" si="78"/>
        <v>0</v>
      </c>
      <c r="L244" s="7"/>
      <c r="M244" s="7"/>
      <c r="N244" s="177"/>
      <c r="O244" s="177">
        <f t="shared" si="79"/>
        <v>0</v>
      </c>
      <c r="P244" s="177">
        <f t="shared" si="80"/>
        <v>0</v>
      </c>
      <c r="Q244" s="224">
        <v>0</v>
      </c>
      <c r="R244" s="180">
        <f t="shared" si="69"/>
        <v>0</v>
      </c>
      <c r="S244" s="180">
        <f t="shared" si="81"/>
        <v>0</v>
      </c>
      <c r="T244" s="181"/>
      <c r="U244" s="214"/>
      <c r="V244" s="214"/>
      <c r="W244" s="214"/>
      <c r="X244" s="214"/>
      <c r="Y244" s="214"/>
      <c r="Z244" s="183">
        <v>29.348549999999999</v>
      </c>
      <c r="AA244" s="184" t="s">
        <v>217</v>
      </c>
      <c r="AB244" s="24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21.95" customHeight="1">
      <c r="A245" s="11">
        <v>109</v>
      </c>
      <c r="B245" s="48" t="s">
        <v>222</v>
      </c>
      <c r="C245" s="54"/>
      <c r="D245" s="87">
        <v>36.75</v>
      </c>
      <c r="E245" s="177">
        <f t="shared" si="76"/>
        <v>0</v>
      </c>
      <c r="F245" s="177">
        <f t="shared" si="77"/>
        <v>0</v>
      </c>
      <c r="G245" s="6"/>
      <c r="H245" s="7"/>
      <c r="I245" s="7"/>
      <c r="J245" s="7"/>
      <c r="K245" s="177">
        <f t="shared" si="78"/>
        <v>0</v>
      </c>
      <c r="L245" s="7"/>
      <c r="M245" s="7"/>
      <c r="N245" s="177"/>
      <c r="O245" s="177">
        <f t="shared" si="79"/>
        <v>0</v>
      </c>
      <c r="P245" s="177">
        <f t="shared" si="80"/>
        <v>0</v>
      </c>
      <c r="Q245" s="224">
        <v>0</v>
      </c>
      <c r="R245" s="180">
        <f t="shared" si="69"/>
        <v>0</v>
      </c>
      <c r="S245" s="180">
        <f t="shared" si="81"/>
        <v>0</v>
      </c>
      <c r="T245" s="181"/>
      <c r="U245" s="214"/>
      <c r="V245" s="214"/>
      <c r="W245" s="214"/>
      <c r="X245" s="214"/>
      <c r="Y245" s="214"/>
      <c r="Z245" s="183">
        <v>49.35</v>
      </c>
      <c r="AA245" s="184" t="s">
        <v>217</v>
      </c>
      <c r="AB245" s="24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21.95" customHeight="1">
      <c r="A246" s="11">
        <v>5532</v>
      </c>
      <c r="B246" s="48" t="s">
        <v>128</v>
      </c>
      <c r="C246" s="54"/>
      <c r="D246" s="87">
        <v>2.54</v>
      </c>
      <c r="E246" s="177">
        <f>D246*C246</f>
        <v>0</v>
      </c>
      <c r="F246" s="177">
        <f t="shared" si="77"/>
        <v>0</v>
      </c>
      <c r="G246" s="6"/>
      <c r="H246" s="7"/>
      <c r="I246" s="7"/>
      <c r="J246" s="7"/>
      <c r="K246" s="177">
        <f t="shared" si="78"/>
        <v>0</v>
      </c>
      <c r="L246" s="7"/>
      <c r="M246" s="7"/>
      <c r="N246" s="177"/>
      <c r="O246" s="177">
        <f t="shared" si="79"/>
        <v>0</v>
      </c>
      <c r="P246" s="177">
        <f t="shared" si="80"/>
        <v>0</v>
      </c>
      <c r="Q246" s="224">
        <v>0</v>
      </c>
      <c r="R246" s="180">
        <f t="shared" si="69"/>
        <v>0</v>
      </c>
      <c r="S246" s="180">
        <f t="shared" si="81"/>
        <v>0</v>
      </c>
      <c r="T246" s="181"/>
      <c r="U246" s="214"/>
      <c r="V246" s="214"/>
      <c r="W246" s="214"/>
      <c r="X246" s="214"/>
      <c r="Y246" s="214"/>
      <c r="Z246" s="183">
        <v>3.2143649999999999</v>
      </c>
      <c r="AA246" s="184" t="s">
        <v>217</v>
      </c>
      <c r="AB246" s="24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21.95" customHeight="1">
      <c r="A247" s="11">
        <v>9392</v>
      </c>
      <c r="B247" s="48" t="s">
        <v>223</v>
      </c>
      <c r="C247" s="54"/>
      <c r="D247" s="87">
        <v>41.82</v>
      </c>
      <c r="E247" s="177">
        <f t="shared" si="76"/>
        <v>0</v>
      </c>
      <c r="F247" s="177">
        <f t="shared" si="77"/>
        <v>0</v>
      </c>
      <c r="G247" s="6"/>
      <c r="H247" s="5"/>
      <c r="I247" s="7"/>
      <c r="J247" s="7"/>
      <c r="K247" s="177">
        <f t="shared" si="78"/>
        <v>0</v>
      </c>
      <c r="L247" s="7"/>
      <c r="M247" s="7"/>
      <c r="N247" s="177"/>
      <c r="O247" s="177">
        <f t="shared" si="79"/>
        <v>0</v>
      </c>
      <c r="P247" s="177">
        <f t="shared" si="80"/>
        <v>0</v>
      </c>
      <c r="Q247" s="224">
        <v>0</v>
      </c>
      <c r="R247" s="180">
        <f t="shared" si="69"/>
        <v>0</v>
      </c>
      <c r="S247" s="180">
        <f t="shared" si="81"/>
        <v>0</v>
      </c>
      <c r="T247" s="181"/>
      <c r="U247" s="214"/>
      <c r="V247" s="214"/>
      <c r="W247" s="214"/>
      <c r="X247" s="214"/>
      <c r="Y247" s="214"/>
      <c r="Z247" s="183">
        <v>58.548000000000002</v>
      </c>
      <c r="AA247" s="184" t="s">
        <v>217</v>
      </c>
      <c r="AB247" s="24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21.95" customHeight="1">
      <c r="A248" s="11">
        <v>28548</v>
      </c>
      <c r="B248" s="48" t="s">
        <v>235</v>
      </c>
      <c r="C248" s="54"/>
      <c r="D248" s="87">
        <v>12.18</v>
      </c>
      <c r="E248" s="177">
        <f t="shared" si="76"/>
        <v>0</v>
      </c>
      <c r="F248" s="177">
        <f t="shared" si="77"/>
        <v>0</v>
      </c>
      <c r="G248" s="6"/>
      <c r="H248" s="5"/>
      <c r="I248" s="5"/>
      <c r="J248" s="7"/>
      <c r="K248" s="177">
        <f t="shared" si="78"/>
        <v>0</v>
      </c>
      <c r="L248" s="177"/>
      <c r="M248" s="177"/>
      <c r="N248" s="177"/>
      <c r="O248" s="177">
        <f t="shared" si="79"/>
        <v>0</v>
      </c>
      <c r="P248" s="177">
        <f t="shared" si="80"/>
        <v>0</v>
      </c>
      <c r="Q248" s="224">
        <v>0</v>
      </c>
      <c r="R248" s="180">
        <f t="shared" si="69"/>
        <v>0</v>
      </c>
      <c r="S248" s="180">
        <f t="shared" si="81"/>
        <v>0</v>
      </c>
      <c r="T248" s="181"/>
      <c r="U248" s="214"/>
      <c r="V248" s="214"/>
      <c r="W248" s="214"/>
      <c r="X248" s="214"/>
      <c r="Y248" s="214"/>
      <c r="Z248" s="183">
        <v>12.18</v>
      </c>
      <c r="AA248" s="184" t="s">
        <v>217</v>
      </c>
      <c r="AB248" s="24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21.95" customHeight="1">
      <c r="A249" s="11">
        <v>9252</v>
      </c>
      <c r="B249" s="89" t="s">
        <v>241</v>
      </c>
      <c r="C249" s="54"/>
      <c r="D249" s="87">
        <v>35</v>
      </c>
      <c r="E249" s="177">
        <f t="shared" si="76"/>
        <v>0</v>
      </c>
      <c r="F249" s="177">
        <f t="shared" si="77"/>
        <v>0</v>
      </c>
      <c r="G249" s="6"/>
      <c r="H249" s="5"/>
      <c r="I249" s="5"/>
      <c r="J249" s="7"/>
      <c r="K249" s="177">
        <f t="shared" si="78"/>
        <v>0</v>
      </c>
      <c r="L249" s="177"/>
      <c r="M249" s="177"/>
      <c r="N249" s="177"/>
      <c r="O249" s="177">
        <f t="shared" si="79"/>
        <v>0</v>
      </c>
      <c r="P249" s="177">
        <f t="shared" si="80"/>
        <v>0</v>
      </c>
      <c r="Q249" s="224">
        <v>0</v>
      </c>
      <c r="R249" s="180">
        <f t="shared" si="69"/>
        <v>0</v>
      </c>
      <c r="S249" s="180">
        <f t="shared" si="81"/>
        <v>0</v>
      </c>
      <c r="T249" s="181"/>
      <c r="U249" s="214"/>
      <c r="V249" s="214"/>
      <c r="W249" s="214"/>
      <c r="X249" s="214"/>
      <c r="Y249" s="214"/>
      <c r="Z249" s="183">
        <v>36.75</v>
      </c>
      <c r="AA249" s="184" t="s">
        <v>217</v>
      </c>
      <c r="AB249" s="24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21.95" customHeight="1">
      <c r="A250" s="11">
        <v>488</v>
      </c>
      <c r="B250" s="89" t="s">
        <v>314</v>
      </c>
      <c r="C250" s="133"/>
      <c r="D250" s="87">
        <v>38</v>
      </c>
      <c r="E250" s="177">
        <f t="shared" ref="E250" si="82">D250*C250</f>
        <v>0</v>
      </c>
      <c r="F250" s="177">
        <f t="shared" ref="F250" si="83">E250+R250</f>
        <v>0</v>
      </c>
      <c r="G250" s="6"/>
      <c r="H250" s="5"/>
      <c r="I250" s="5"/>
      <c r="J250" s="7"/>
      <c r="K250" s="177">
        <f t="shared" ref="K250" si="84">N250*J250</f>
        <v>0</v>
      </c>
      <c r="L250" s="177"/>
      <c r="M250" s="177"/>
      <c r="N250" s="177"/>
      <c r="O250" s="177">
        <f t="shared" ref="O250" si="85">(N250*L250-M250)+K250</f>
        <v>0</v>
      </c>
      <c r="P250" s="177">
        <f t="shared" ref="P250" si="86">E250+O250</f>
        <v>0</v>
      </c>
      <c r="Q250" s="224">
        <v>0</v>
      </c>
      <c r="R250" s="180">
        <f t="shared" si="69"/>
        <v>0</v>
      </c>
      <c r="S250" s="180">
        <f t="shared" si="81"/>
        <v>0</v>
      </c>
      <c r="T250" s="263"/>
      <c r="U250" s="214"/>
      <c r="V250" s="214"/>
      <c r="W250" s="214"/>
      <c r="X250" s="214"/>
      <c r="Y250" s="214"/>
      <c r="Z250" s="183">
        <v>49.4</v>
      </c>
      <c r="AA250" s="184" t="s">
        <v>217</v>
      </c>
      <c r="AB250" s="24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21.95" customHeight="1">
      <c r="A251" s="49" t="s">
        <v>6</v>
      </c>
      <c r="B251" s="49" t="s">
        <v>266</v>
      </c>
      <c r="C251" s="100"/>
      <c r="D251" s="100"/>
      <c r="E251" s="100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24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21.95" customHeight="1">
      <c r="A252" s="106">
        <v>1590</v>
      </c>
      <c r="B252" s="107" t="s">
        <v>267</v>
      </c>
      <c r="C252" s="108"/>
      <c r="D252" s="109">
        <v>25.36</v>
      </c>
      <c r="E252" s="177">
        <f>D252*C252</f>
        <v>0</v>
      </c>
      <c r="F252" s="177">
        <f t="shared" ref="F252" si="87">E252+R252</f>
        <v>0</v>
      </c>
      <c r="G252" s="6"/>
      <c r="H252" s="5"/>
      <c r="I252" s="7"/>
      <c r="J252" s="7"/>
      <c r="K252" s="177">
        <f t="shared" ref="K252" si="88">N252*J252</f>
        <v>0</v>
      </c>
      <c r="L252" s="7"/>
      <c r="M252" s="5"/>
      <c r="N252" s="177"/>
      <c r="O252" s="177">
        <f t="shared" ref="O252" si="89">(N252*L252-M252)+K252</f>
        <v>0</v>
      </c>
      <c r="P252" s="177">
        <f t="shared" ref="P252" si="90">E252+O252</f>
        <v>0</v>
      </c>
      <c r="Q252" s="224">
        <v>0</v>
      </c>
      <c r="R252" s="180">
        <f t="shared" si="69"/>
        <v>0</v>
      </c>
      <c r="S252" s="180">
        <f t="shared" ref="S252" si="91">E252+R252+O252</f>
        <v>0</v>
      </c>
      <c r="T252" s="181"/>
      <c r="U252" s="214"/>
      <c r="V252" s="214"/>
      <c r="W252" s="214"/>
      <c r="X252" s="214"/>
      <c r="Y252" s="214"/>
      <c r="Z252" s="183">
        <v>34.94</v>
      </c>
      <c r="AA252" s="184" t="s">
        <v>217</v>
      </c>
      <c r="AB252" s="24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21.95" customHeight="1">
      <c r="A253" s="106">
        <v>1585</v>
      </c>
      <c r="B253" s="107" t="s">
        <v>268</v>
      </c>
      <c r="C253" s="108"/>
      <c r="D253" s="109">
        <v>25.36</v>
      </c>
      <c r="E253" s="177">
        <f t="shared" ref="E253:E281" si="92">D253*C253</f>
        <v>0</v>
      </c>
      <c r="F253" s="177">
        <f t="shared" ref="F253:F281" si="93">E253+R253</f>
        <v>0</v>
      </c>
      <c r="G253" s="6"/>
      <c r="H253" s="5"/>
      <c r="I253" s="7"/>
      <c r="J253" s="7"/>
      <c r="K253" s="177">
        <f t="shared" ref="K253:K281" si="94">N253*J253</f>
        <v>0</v>
      </c>
      <c r="L253" s="7"/>
      <c r="M253" s="5"/>
      <c r="N253" s="177"/>
      <c r="O253" s="177">
        <f t="shared" ref="O253:O281" si="95">(N253*L253-M253)+K253</f>
        <v>0</v>
      </c>
      <c r="P253" s="177">
        <f t="shared" ref="P253:P281" si="96">E253+O253</f>
        <v>0</v>
      </c>
      <c r="Q253" s="224">
        <v>0</v>
      </c>
      <c r="R253" s="180">
        <f t="shared" si="69"/>
        <v>0</v>
      </c>
      <c r="S253" s="180">
        <f t="shared" ref="S253:S281" si="97">E253+R253+O253</f>
        <v>0</v>
      </c>
      <c r="T253" s="181"/>
      <c r="U253" s="214"/>
      <c r="V253" s="214"/>
      <c r="W253" s="214"/>
      <c r="X253" s="214"/>
      <c r="Y253" s="214"/>
      <c r="Z253" s="183">
        <v>34.94</v>
      </c>
      <c r="AA253" s="184" t="s">
        <v>217</v>
      </c>
      <c r="AB253" s="24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21.95" customHeight="1">
      <c r="A254" s="106">
        <v>1591</v>
      </c>
      <c r="B254" s="107" t="s">
        <v>269</v>
      </c>
      <c r="C254" s="108"/>
      <c r="D254" s="109">
        <v>25.36</v>
      </c>
      <c r="E254" s="177">
        <f t="shared" si="92"/>
        <v>0</v>
      </c>
      <c r="F254" s="177">
        <f t="shared" si="93"/>
        <v>0</v>
      </c>
      <c r="G254" s="6"/>
      <c r="H254" s="5"/>
      <c r="I254" s="7"/>
      <c r="J254" s="7"/>
      <c r="K254" s="177">
        <f t="shared" si="94"/>
        <v>0</v>
      </c>
      <c r="L254" s="7"/>
      <c r="M254" s="5"/>
      <c r="N254" s="177"/>
      <c r="O254" s="177">
        <f t="shared" si="95"/>
        <v>0</v>
      </c>
      <c r="P254" s="177">
        <f t="shared" si="96"/>
        <v>0</v>
      </c>
      <c r="Q254" s="224">
        <v>0</v>
      </c>
      <c r="R254" s="180">
        <f t="shared" si="69"/>
        <v>0</v>
      </c>
      <c r="S254" s="180">
        <f t="shared" si="97"/>
        <v>0</v>
      </c>
      <c r="T254" s="181"/>
      <c r="U254" s="214"/>
      <c r="V254" s="214"/>
      <c r="W254" s="214"/>
      <c r="X254" s="214"/>
      <c r="Y254" s="214"/>
      <c r="Z254" s="183">
        <v>34.94</v>
      </c>
      <c r="AA254" s="184" t="s">
        <v>217</v>
      </c>
      <c r="AB254" s="24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21.95" customHeight="1">
      <c r="A255" s="106">
        <v>1592</v>
      </c>
      <c r="B255" s="107" t="s">
        <v>270</v>
      </c>
      <c r="C255" s="108"/>
      <c r="D255" s="109">
        <v>25.36</v>
      </c>
      <c r="E255" s="177">
        <f t="shared" si="92"/>
        <v>0</v>
      </c>
      <c r="F255" s="177">
        <f t="shared" si="93"/>
        <v>0</v>
      </c>
      <c r="G255" s="6"/>
      <c r="H255" s="5"/>
      <c r="I255" s="7"/>
      <c r="J255" s="7"/>
      <c r="K255" s="177">
        <f t="shared" si="94"/>
        <v>0</v>
      </c>
      <c r="L255" s="7"/>
      <c r="M255" s="5"/>
      <c r="N255" s="177"/>
      <c r="O255" s="177">
        <f t="shared" si="95"/>
        <v>0</v>
      </c>
      <c r="P255" s="177">
        <f t="shared" si="96"/>
        <v>0</v>
      </c>
      <c r="Q255" s="224">
        <v>0</v>
      </c>
      <c r="R255" s="180">
        <f t="shared" si="69"/>
        <v>0</v>
      </c>
      <c r="S255" s="180">
        <f t="shared" si="97"/>
        <v>0</v>
      </c>
      <c r="T255" s="181"/>
      <c r="U255" s="214"/>
      <c r="V255" s="214"/>
      <c r="W255" s="214"/>
      <c r="X255" s="214"/>
      <c r="Y255" s="214"/>
      <c r="Z255" s="183">
        <v>34.94</v>
      </c>
      <c r="AA255" s="184" t="s">
        <v>217</v>
      </c>
      <c r="AB255" s="24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21.95" customHeight="1">
      <c r="A256" s="106">
        <v>1593</v>
      </c>
      <c r="B256" s="107" t="s">
        <v>271</v>
      </c>
      <c r="C256" s="108"/>
      <c r="D256" s="109">
        <v>25.36</v>
      </c>
      <c r="E256" s="177">
        <f t="shared" si="92"/>
        <v>0</v>
      </c>
      <c r="F256" s="177">
        <f t="shared" si="93"/>
        <v>0</v>
      </c>
      <c r="G256" s="6"/>
      <c r="H256" s="5"/>
      <c r="I256" s="7"/>
      <c r="J256" s="7"/>
      <c r="K256" s="177">
        <f t="shared" si="94"/>
        <v>0</v>
      </c>
      <c r="L256" s="7"/>
      <c r="M256" s="5"/>
      <c r="N256" s="177"/>
      <c r="O256" s="177">
        <f t="shared" si="95"/>
        <v>0</v>
      </c>
      <c r="P256" s="177">
        <f t="shared" si="96"/>
        <v>0</v>
      </c>
      <c r="Q256" s="224">
        <v>0</v>
      </c>
      <c r="R256" s="180">
        <f t="shared" si="69"/>
        <v>0</v>
      </c>
      <c r="S256" s="180">
        <f t="shared" si="97"/>
        <v>0</v>
      </c>
      <c r="T256" s="181"/>
      <c r="U256" s="214"/>
      <c r="V256" s="214"/>
      <c r="W256" s="214"/>
      <c r="X256" s="214"/>
      <c r="Y256" s="214"/>
      <c r="Z256" s="183">
        <v>34.94</v>
      </c>
      <c r="AA256" s="184" t="s">
        <v>217</v>
      </c>
      <c r="AB256" s="24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21.95" customHeight="1">
      <c r="A257" s="106">
        <v>1559</v>
      </c>
      <c r="B257" s="110" t="s">
        <v>272</v>
      </c>
      <c r="C257" s="108"/>
      <c r="D257" s="111">
        <v>25.36</v>
      </c>
      <c r="E257" s="177">
        <f t="shared" si="92"/>
        <v>0</v>
      </c>
      <c r="F257" s="177">
        <f t="shared" si="93"/>
        <v>0</v>
      </c>
      <c r="G257" s="6"/>
      <c r="H257" s="5"/>
      <c r="I257" s="7"/>
      <c r="J257" s="7"/>
      <c r="K257" s="177">
        <f t="shared" si="94"/>
        <v>0</v>
      </c>
      <c r="L257" s="7"/>
      <c r="M257" s="5"/>
      <c r="N257" s="177"/>
      <c r="O257" s="177">
        <f t="shared" si="95"/>
        <v>0</v>
      </c>
      <c r="P257" s="177">
        <f t="shared" si="96"/>
        <v>0</v>
      </c>
      <c r="Q257" s="224">
        <v>0</v>
      </c>
      <c r="R257" s="180">
        <f t="shared" si="69"/>
        <v>0</v>
      </c>
      <c r="S257" s="180">
        <f t="shared" si="97"/>
        <v>0</v>
      </c>
      <c r="T257" s="181"/>
      <c r="U257" s="214"/>
      <c r="V257" s="214"/>
      <c r="W257" s="214"/>
      <c r="X257" s="214"/>
      <c r="Y257" s="214"/>
      <c r="Z257" s="183">
        <v>34.94</v>
      </c>
      <c r="AA257" s="184" t="s">
        <v>217</v>
      </c>
      <c r="AB257" s="24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21.95" customHeight="1">
      <c r="A258" s="106">
        <v>1558</v>
      </c>
      <c r="B258" s="110" t="s">
        <v>291</v>
      </c>
      <c r="C258" s="108"/>
      <c r="D258" s="111">
        <v>25.36</v>
      </c>
      <c r="E258" s="177">
        <f t="shared" si="92"/>
        <v>0</v>
      </c>
      <c r="F258" s="177">
        <f t="shared" si="93"/>
        <v>0</v>
      </c>
      <c r="G258" s="6"/>
      <c r="H258" s="5"/>
      <c r="I258" s="7"/>
      <c r="J258" s="7"/>
      <c r="K258" s="177">
        <f t="shared" si="94"/>
        <v>0</v>
      </c>
      <c r="L258" s="7"/>
      <c r="M258" s="5"/>
      <c r="N258" s="177"/>
      <c r="O258" s="177">
        <f t="shared" si="95"/>
        <v>0</v>
      </c>
      <c r="P258" s="177">
        <f t="shared" si="96"/>
        <v>0</v>
      </c>
      <c r="Q258" s="224">
        <v>0</v>
      </c>
      <c r="R258" s="180">
        <f t="shared" si="69"/>
        <v>0</v>
      </c>
      <c r="S258" s="180">
        <f t="shared" si="97"/>
        <v>0</v>
      </c>
      <c r="T258" s="181"/>
      <c r="U258" s="214"/>
      <c r="V258" s="214"/>
      <c r="W258" s="214"/>
      <c r="X258" s="214"/>
      <c r="Y258" s="214"/>
      <c r="Z258" s="183">
        <v>34.94</v>
      </c>
      <c r="AA258" s="184" t="s">
        <v>217</v>
      </c>
      <c r="AB258" s="24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21.95" customHeight="1">
      <c r="A259" s="106">
        <v>1556</v>
      </c>
      <c r="B259" s="110" t="s">
        <v>273</v>
      </c>
      <c r="C259" s="108"/>
      <c r="D259" s="111">
        <v>25.36</v>
      </c>
      <c r="E259" s="177">
        <f t="shared" si="92"/>
        <v>0</v>
      </c>
      <c r="F259" s="177">
        <f t="shared" si="93"/>
        <v>0</v>
      </c>
      <c r="G259" s="6"/>
      <c r="H259" s="5"/>
      <c r="I259" s="7"/>
      <c r="J259" s="7"/>
      <c r="K259" s="177">
        <f t="shared" si="94"/>
        <v>0</v>
      </c>
      <c r="L259" s="7"/>
      <c r="M259" s="5"/>
      <c r="N259" s="177"/>
      <c r="O259" s="177">
        <f t="shared" si="95"/>
        <v>0</v>
      </c>
      <c r="P259" s="177">
        <f t="shared" si="96"/>
        <v>0</v>
      </c>
      <c r="Q259" s="224">
        <v>0</v>
      </c>
      <c r="R259" s="180">
        <f t="shared" si="69"/>
        <v>0</v>
      </c>
      <c r="S259" s="180">
        <f t="shared" si="97"/>
        <v>0</v>
      </c>
      <c r="T259" s="181"/>
      <c r="U259" s="214"/>
      <c r="V259" s="214"/>
      <c r="W259" s="214"/>
      <c r="X259" s="214"/>
      <c r="Y259" s="214"/>
      <c r="Z259" s="183">
        <v>34.94</v>
      </c>
      <c r="AA259" s="184" t="s">
        <v>217</v>
      </c>
      <c r="AB259" s="24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21.95" customHeight="1">
      <c r="A260" s="106">
        <v>1555</v>
      </c>
      <c r="B260" s="110" t="s">
        <v>274</v>
      </c>
      <c r="C260" s="108"/>
      <c r="D260" s="111">
        <v>25.36</v>
      </c>
      <c r="E260" s="177">
        <f t="shared" si="92"/>
        <v>0</v>
      </c>
      <c r="F260" s="177">
        <f t="shared" si="93"/>
        <v>0</v>
      </c>
      <c r="G260" s="6"/>
      <c r="H260" s="5"/>
      <c r="I260" s="7"/>
      <c r="J260" s="7"/>
      <c r="K260" s="177">
        <f t="shared" si="94"/>
        <v>0</v>
      </c>
      <c r="L260" s="7"/>
      <c r="M260" s="5"/>
      <c r="N260" s="177"/>
      <c r="O260" s="177">
        <f t="shared" si="95"/>
        <v>0</v>
      </c>
      <c r="P260" s="177">
        <f t="shared" si="96"/>
        <v>0</v>
      </c>
      <c r="Q260" s="224">
        <v>0</v>
      </c>
      <c r="R260" s="180">
        <f t="shared" si="69"/>
        <v>0</v>
      </c>
      <c r="S260" s="180">
        <f t="shared" si="97"/>
        <v>0</v>
      </c>
      <c r="T260" s="181"/>
      <c r="U260" s="214"/>
      <c r="V260" s="214"/>
      <c r="W260" s="214"/>
      <c r="X260" s="214"/>
      <c r="Y260" s="214"/>
      <c r="Z260" s="183">
        <v>34.94</v>
      </c>
      <c r="AA260" s="184" t="s">
        <v>217</v>
      </c>
      <c r="AB260" s="24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21.95" customHeight="1">
      <c r="A261" s="106">
        <v>1554</v>
      </c>
      <c r="B261" s="110" t="s">
        <v>275</v>
      </c>
      <c r="C261" s="108"/>
      <c r="D261" s="111">
        <v>25.36</v>
      </c>
      <c r="E261" s="177">
        <f t="shared" si="92"/>
        <v>0</v>
      </c>
      <c r="F261" s="177">
        <f t="shared" si="93"/>
        <v>0</v>
      </c>
      <c r="G261" s="6"/>
      <c r="H261" s="5"/>
      <c r="I261" s="7"/>
      <c r="J261" s="7"/>
      <c r="K261" s="177">
        <f t="shared" si="94"/>
        <v>0</v>
      </c>
      <c r="L261" s="7"/>
      <c r="M261" s="5"/>
      <c r="N261" s="177"/>
      <c r="O261" s="177">
        <f t="shared" si="95"/>
        <v>0</v>
      </c>
      <c r="P261" s="177">
        <f t="shared" si="96"/>
        <v>0</v>
      </c>
      <c r="Q261" s="224">
        <v>0</v>
      </c>
      <c r="R261" s="180">
        <f t="shared" si="69"/>
        <v>0</v>
      </c>
      <c r="S261" s="180">
        <f t="shared" si="97"/>
        <v>0</v>
      </c>
      <c r="T261" s="181"/>
      <c r="U261" s="214"/>
      <c r="V261" s="214"/>
      <c r="W261" s="214"/>
      <c r="X261" s="214"/>
      <c r="Y261" s="214"/>
      <c r="Z261" s="183">
        <v>34.94</v>
      </c>
      <c r="AA261" s="184" t="s">
        <v>217</v>
      </c>
      <c r="AB261" s="24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21.95" customHeight="1">
      <c r="A262" s="106">
        <v>1468</v>
      </c>
      <c r="B262" s="112" t="s">
        <v>276</v>
      </c>
      <c r="C262" s="108"/>
      <c r="D262" s="113">
        <v>47</v>
      </c>
      <c r="E262" s="177">
        <f t="shared" si="92"/>
        <v>0</v>
      </c>
      <c r="F262" s="177">
        <f t="shared" si="93"/>
        <v>0</v>
      </c>
      <c r="G262" s="6"/>
      <c r="H262" s="5"/>
      <c r="I262" s="7"/>
      <c r="J262" s="7"/>
      <c r="K262" s="177">
        <f t="shared" si="94"/>
        <v>0</v>
      </c>
      <c r="L262" s="7"/>
      <c r="M262" s="5"/>
      <c r="N262" s="177"/>
      <c r="O262" s="177">
        <f t="shared" si="95"/>
        <v>0</v>
      </c>
      <c r="P262" s="177">
        <f t="shared" si="96"/>
        <v>0</v>
      </c>
      <c r="Q262" s="224">
        <v>0</v>
      </c>
      <c r="R262" s="180">
        <f t="shared" si="69"/>
        <v>0</v>
      </c>
      <c r="S262" s="180">
        <f t="shared" si="97"/>
        <v>0</v>
      </c>
      <c r="T262" s="181"/>
      <c r="U262" s="214"/>
      <c r="V262" s="214"/>
      <c r="W262" s="214"/>
      <c r="X262" s="214"/>
      <c r="Y262" s="214"/>
      <c r="Z262" s="183">
        <v>57</v>
      </c>
      <c r="AA262" s="184" t="s">
        <v>217</v>
      </c>
      <c r="AB262" s="24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21.95" customHeight="1">
      <c r="A263" s="106">
        <v>1469</v>
      </c>
      <c r="B263" s="112" t="s">
        <v>277</v>
      </c>
      <c r="C263" s="108"/>
      <c r="D263" s="113">
        <v>47</v>
      </c>
      <c r="E263" s="177">
        <f t="shared" si="92"/>
        <v>0</v>
      </c>
      <c r="F263" s="177">
        <f t="shared" si="93"/>
        <v>0</v>
      </c>
      <c r="G263" s="6"/>
      <c r="H263" s="5"/>
      <c r="I263" s="7"/>
      <c r="J263" s="7"/>
      <c r="K263" s="177">
        <f t="shared" si="94"/>
        <v>0</v>
      </c>
      <c r="L263" s="7"/>
      <c r="M263" s="5"/>
      <c r="N263" s="177"/>
      <c r="O263" s="177">
        <f t="shared" si="95"/>
        <v>0</v>
      </c>
      <c r="P263" s="177">
        <f t="shared" si="96"/>
        <v>0</v>
      </c>
      <c r="Q263" s="224">
        <v>0</v>
      </c>
      <c r="R263" s="180">
        <f t="shared" si="69"/>
        <v>0</v>
      </c>
      <c r="S263" s="180">
        <f t="shared" si="97"/>
        <v>0</v>
      </c>
      <c r="T263" s="181"/>
      <c r="U263" s="214"/>
      <c r="V263" s="214"/>
      <c r="W263" s="214"/>
      <c r="X263" s="214"/>
      <c r="Y263" s="214"/>
      <c r="Z263" s="183">
        <v>57</v>
      </c>
      <c r="AA263" s="184" t="s">
        <v>217</v>
      </c>
      <c r="AB263" s="24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21.95" customHeight="1">
      <c r="A264" s="106">
        <v>1470</v>
      </c>
      <c r="B264" s="112" t="s">
        <v>278</v>
      </c>
      <c r="C264" s="108"/>
      <c r="D264" s="113">
        <v>47</v>
      </c>
      <c r="E264" s="177">
        <f t="shared" si="92"/>
        <v>0</v>
      </c>
      <c r="F264" s="177">
        <f t="shared" si="93"/>
        <v>0</v>
      </c>
      <c r="G264" s="6"/>
      <c r="H264" s="5"/>
      <c r="I264" s="7"/>
      <c r="J264" s="7"/>
      <c r="K264" s="177">
        <f t="shared" si="94"/>
        <v>0</v>
      </c>
      <c r="L264" s="7"/>
      <c r="M264" s="5"/>
      <c r="N264" s="177"/>
      <c r="O264" s="177">
        <f t="shared" si="95"/>
        <v>0</v>
      </c>
      <c r="P264" s="177">
        <f t="shared" si="96"/>
        <v>0</v>
      </c>
      <c r="Q264" s="224">
        <v>0</v>
      </c>
      <c r="R264" s="180">
        <f t="shared" si="69"/>
        <v>0</v>
      </c>
      <c r="S264" s="180">
        <f t="shared" si="97"/>
        <v>0</v>
      </c>
      <c r="T264" s="181"/>
      <c r="U264" s="214"/>
      <c r="V264" s="214"/>
      <c r="W264" s="214"/>
      <c r="X264" s="214"/>
      <c r="Y264" s="214"/>
      <c r="Z264" s="183">
        <v>57</v>
      </c>
      <c r="AA264" s="184" t="s">
        <v>217</v>
      </c>
      <c r="AB264" s="24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21.95" customHeight="1">
      <c r="A265" s="106">
        <v>1471</v>
      </c>
      <c r="B265" s="112" t="s">
        <v>279</v>
      </c>
      <c r="C265" s="108"/>
      <c r="D265" s="113">
        <v>47</v>
      </c>
      <c r="E265" s="177">
        <f t="shared" si="92"/>
        <v>0</v>
      </c>
      <c r="F265" s="177">
        <f t="shared" si="93"/>
        <v>0</v>
      </c>
      <c r="G265" s="6"/>
      <c r="H265" s="5"/>
      <c r="I265" s="7"/>
      <c r="J265" s="7"/>
      <c r="K265" s="177">
        <f t="shared" si="94"/>
        <v>0</v>
      </c>
      <c r="L265" s="7"/>
      <c r="M265" s="5"/>
      <c r="N265" s="177"/>
      <c r="O265" s="177">
        <f t="shared" si="95"/>
        <v>0</v>
      </c>
      <c r="P265" s="177">
        <f t="shared" si="96"/>
        <v>0</v>
      </c>
      <c r="Q265" s="224">
        <v>0</v>
      </c>
      <c r="R265" s="180">
        <f t="shared" si="69"/>
        <v>0</v>
      </c>
      <c r="S265" s="180">
        <f t="shared" si="97"/>
        <v>0</v>
      </c>
      <c r="T265" s="181"/>
      <c r="U265" s="214"/>
      <c r="V265" s="214"/>
      <c r="W265" s="214"/>
      <c r="X265" s="214"/>
      <c r="Y265" s="214"/>
      <c r="Z265" s="183">
        <v>57</v>
      </c>
      <c r="AA265" s="184" t="s">
        <v>217</v>
      </c>
      <c r="AB265" s="24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21.95" customHeight="1">
      <c r="A266" s="106">
        <v>1474</v>
      </c>
      <c r="B266" s="112" t="s">
        <v>280</v>
      </c>
      <c r="C266" s="108"/>
      <c r="D266" s="113">
        <v>47</v>
      </c>
      <c r="E266" s="177">
        <f t="shared" si="92"/>
        <v>0</v>
      </c>
      <c r="F266" s="177">
        <f t="shared" si="93"/>
        <v>0</v>
      </c>
      <c r="G266" s="6"/>
      <c r="H266" s="5"/>
      <c r="I266" s="7"/>
      <c r="J266" s="7"/>
      <c r="K266" s="177">
        <f t="shared" si="94"/>
        <v>0</v>
      </c>
      <c r="L266" s="7"/>
      <c r="M266" s="5"/>
      <c r="N266" s="177"/>
      <c r="O266" s="177">
        <f t="shared" si="95"/>
        <v>0</v>
      </c>
      <c r="P266" s="177">
        <f t="shared" si="96"/>
        <v>0</v>
      </c>
      <c r="Q266" s="224">
        <v>0</v>
      </c>
      <c r="R266" s="180">
        <f t="shared" si="69"/>
        <v>0</v>
      </c>
      <c r="S266" s="180">
        <f t="shared" si="97"/>
        <v>0</v>
      </c>
      <c r="T266" s="181"/>
      <c r="U266" s="214"/>
      <c r="V266" s="214"/>
      <c r="W266" s="214"/>
      <c r="X266" s="214"/>
      <c r="Y266" s="214"/>
      <c r="Z266" s="183">
        <v>57</v>
      </c>
      <c r="AA266" s="184" t="s">
        <v>217</v>
      </c>
      <c r="AB266" s="24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21.95" customHeight="1">
      <c r="A267" s="106">
        <v>1586</v>
      </c>
      <c r="B267" s="114" t="s">
        <v>281</v>
      </c>
      <c r="C267" s="108"/>
      <c r="D267" s="115">
        <v>25.36</v>
      </c>
      <c r="E267" s="177">
        <f t="shared" si="92"/>
        <v>0</v>
      </c>
      <c r="F267" s="177">
        <f t="shared" si="93"/>
        <v>0</v>
      </c>
      <c r="G267" s="6"/>
      <c r="H267" s="5"/>
      <c r="I267" s="7"/>
      <c r="J267" s="7"/>
      <c r="K267" s="177">
        <f t="shared" si="94"/>
        <v>0</v>
      </c>
      <c r="L267" s="7"/>
      <c r="M267" s="5"/>
      <c r="N267" s="177"/>
      <c r="O267" s="177">
        <f t="shared" si="95"/>
        <v>0</v>
      </c>
      <c r="P267" s="177">
        <f t="shared" si="96"/>
        <v>0</v>
      </c>
      <c r="Q267" s="224">
        <v>0</v>
      </c>
      <c r="R267" s="180">
        <f t="shared" si="69"/>
        <v>0</v>
      </c>
      <c r="S267" s="180">
        <f t="shared" si="97"/>
        <v>0</v>
      </c>
      <c r="T267" s="181"/>
      <c r="U267" s="214"/>
      <c r="V267" s="214"/>
      <c r="W267" s="214"/>
      <c r="X267" s="214"/>
      <c r="Y267" s="214"/>
      <c r="Z267" s="183">
        <v>34.94</v>
      </c>
      <c r="AA267" s="184" t="s">
        <v>217</v>
      </c>
      <c r="AB267" s="24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21.95" customHeight="1">
      <c r="A268" s="106">
        <v>1583</v>
      </c>
      <c r="B268" s="114" t="s">
        <v>282</v>
      </c>
      <c r="C268" s="108"/>
      <c r="D268" s="115">
        <v>25.36</v>
      </c>
      <c r="E268" s="177">
        <f t="shared" si="92"/>
        <v>0</v>
      </c>
      <c r="F268" s="177">
        <f t="shared" si="93"/>
        <v>0</v>
      </c>
      <c r="G268" s="6"/>
      <c r="H268" s="5"/>
      <c r="I268" s="7"/>
      <c r="J268" s="7"/>
      <c r="K268" s="177">
        <f t="shared" si="94"/>
        <v>0</v>
      </c>
      <c r="L268" s="7"/>
      <c r="M268" s="5"/>
      <c r="N268" s="177"/>
      <c r="O268" s="177">
        <f t="shared" si="95"/>
        <v>0</v>
      </c>
      <c r="P268" s="177">
        <f t="shared" si="96"/>
        <v>0</v>
      </c>
      <c r="Q268" s="224">
        <v>0</v>
      </c>
      <c r="R268" s="180">
        <f t="shared" si="69"/>
        <v>0</v>
      </c>
      <c r="S268" s="180">
        <f t="shared" si="97"/>
        <v>0</v>
      </c>
      <c r="T268" s="181"/>
      <c r="U268" s="214"/>
      <c r="V268" s="214"/>
      <c r="W268" s="214"/>
      <c r="X268" s="214"/>
      <c r="Y268" s="214"/>
      <c r="Z268" s="183">
        <v>34.94</v>
      </c>
      <c r="AA268" s="184" t="s">
        <v>217</v>
      </c>
      <c r="AB268" s="24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21.95" customHeight="1">
      <c r="A269" s="106">
        <v>1584</v>
      </c>
      <c r="B269" s="114" t="s">
        <v>283</v>
      </c>
      <c r="C269" s="108"/>
      <c r="D269" s="115">
        <v>25.36</v>
      </c>
      <c r="E269" s="177">
        <f t="shared" si="92"/>
        <v>0</v>
      </c>
      <c r="F269" s="177">
        <f t="shared" si="93"/>
        <v>0</v>
      </c>
      <c r="G269" s="6"/>
      <c r="H269" s="5"/>
      <c r="I269" s="7"/>
      <c r="J269" s="7"/>
      <c r="K269" s="177">
        <f t="shared" si="94"/>
        <v>0</v>
      </c>
      <c r="L269" s="7"/>
      <c r="M269" s="5"/>
      <c r="N269" s="177"/>
      <c r="O269" s="177">
        <f t="shared" si="95"/>
        <v>0</v>
      </c>
      <c r="P269" s="177">
        <f t="shared" si="96"/>
        <v>0</v>
      </c>
      <c r="Q269" s="224">
        <v>0</v>
      </c>
      <c r="R269" s="180">
        <f t="shared" si="69"/>
        <v>0</v>
      </c>
      <c r="S269" s="180">
        <f t="shared" si="97"/>
        <v>0</v>
      </c>
      <c r="T269" s="181"/>
      <c r="U269" s="214"/>
      <c r="V269" s="214"/>
      <c r="W269" s="214"/>
      <c r="X269" s="214"/>
      <c r="Y269" s="214"/>
      <c r="Z269" s="183">
        <v>34.94</v>
      </c>
      <c r="AA269" s="184" t="s">
        <v>217</v>
      </c>
      <c r="AB269" s="24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21.95" customHeight="1">
      <c r="A270" s="106">
        <v>1587</v>
      </c>
      <c r="B270" s="114" t="s">
        <v>284</v>
      </c>
      <c r="C270" s="108"/>
      <c r="D270" s="115">
        <v>25.36</v>
      </c>
      <c r="E270" s="177">
        <f t="shared" si="92"/>
        <v>0</v>
      </c>
      <c r="F270" s="177">
        <f t="shared" si="93"/>
        <v>0</v>
      </c>
      <c r="G270" s="6"/>
      <c r="H270" s="5"/>
      <c r="I270" s="7"/>
      <c r="J270" s="7"/>
      <c r="K270" s="177">
        <f t="shared" si="94"/>
        <v>0</v>
      </c>
      <c r="L270" s="7"/>
      <c r="M270" s="5"/>
      <c r="N270" s="177"/>
      <c r="O270" s="177">
        <f t="shared" si="95"/>
        <v>0</v>
      </c>
      <c r="P270" s="177">
        <f t="shared" si="96"/>
        <v>0</v>
      </c>
      <c r="Q270" s="224">
        <v>0</v>
      </c>
      <c r="R270" s="180">
        <f t="shared" si="69"/>
        <v>0</v>
      </c>
      <c r="S270" s="180">
        <f t="shared" si="97"/>
        <v>0</v>
      </c>
      <c r="T270" s="181"/>
      <c r="U270" s="214"/>
      <c r="V270" s="214"/>
      <c r="W270" s="214"/>
      <c r="X270" s="214"/>
      <c r="Y270" s="214"/>
      <c r="Z270" s="183">
        <v>34.94</v>
      </c>
      <c r="AA270" s="184" t="s">
        <v>217</v>
      </c>
      <c r="AB270" s="24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21.95" customHeight="1">
      <c r="A271" s="106">
        <v>1589</v>
      </c>
      <c r="B271" s="114" t="s">
        <v>285</v>
      </c>
      <c r="C271" s="108"/>
      <c r="D271" s="115">
        <v>25.36</v>
      </c>
      <c r="E271" s="177">
        <f t="shared" si="92"/>
        <v>0</v>
      </c>
      <c r="F271" s="177">
        <f t="shared" si="93"/>
        <v>0</v>
      </c>
      <c r="G271" s="6"/>
      <c r="H271" s="5"/>
      <c r="I271" s="7"/>
      <c r="J271" s="7"/>
      <c r="K271" s="177">
        <f t="shared" si="94"/>
        <v>0</v>
      </c>
      <c r="L271" s="7"/>
      <c r="M271" s="5"/>
      <c r="N271" s="177"/>
      <c r="O271" s="177">
        <f t="shared" si="95"/>
        <v>0</v>
      </c>
      <c r="P271" s="177">
        <f t="shared" si="96"/>
        <v>0</v>
      </c>
      <c r="Q271" s="224">
        <v>0</v>
      </c>
      <c r="R271" s="180">
        <f t="shared" si="69"/>
        <v>0</v>
      </c>
      <c r="S271" s="180">
        <f t="shared" si="97"/>
        <v>0</v>
      </c>
      <c r="T271" s="181"/>
      <c r="U271" s="214"/>
      <c r="V271" s="214"/>
      <c r="W271" s="214"/>
      <c r="X271" s="214"/>
      <c r="Y271" s="214"/>
      <c r="Z271" s="183">
        <v>34.94</v>
      </c>
      <c r="AA271" s="184" t="s">
        <v>217</v>
      </c>
      <c r="AB271" s="24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21.95" customHeight="1">
      <c r="A272" s="106">
        <v>1594</v>
      </c>
      <c r="B272" s="116" t="s">
        <v>292</v>
      </c>
      <c r="C272" s="108"/>
      <c r="D272" s="117">
        <v>25.36</v>
      </c>
      <c r="E272" s="177">
        <f t="shared" si="92"/>
        <v>0</v>
      </c>
      <c r="F272" s="177">
        <f t="shared" si="93"/>
        <v>0</v>
      </c>
      <c r="G272" s="6"/>
      <c r="H272" s="5"/>
      <c r="I272" s="7"/>
      <c r="J272" s="7"/>
      <c r="K272" s="177">
        <f t="shared" si="94"/>
        <v>0</v>
      </c>
      <c r="L272" s="7"/>
      <c r="M272" s="5"/>
      <c r="N272" s="177"/>
      <c r="O272" s="177">
        <f t="shared" si="95"/>
        <v>0</v>
      </c>
      <c r="P272" s="177">
        <f t="shared" si="96"/>
        <v>0</v>
      </c>
      <c r="Q272" s="224">
        <v>0</v>
      </c>
      <c r="R272" s="180">
        <f t="shared" si="69"/>
        <v>0</v>
      </c>
      <c r="S272" s="180">
        <f t="shared" si="97"/>
        <v>0</v>
      </c>
      <c r="T272" s="181"/>
      <c r="U272" s="214"/>
      <c r="V272" s="214"/>
      <c r="W272" s="214"/>
      <c r="X272" s="214"/>
      <c r="Y272" s="214"/>
      <c r="Z272" s="183">
        <v>34.94</v>
      </c>
      <c r="AA272" s="184" t="s">
        <v>217</v>
      </c>
      <c r="AB272" s="24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21.95" customHeight="1">
      <c r="A273" s="106">
        <v>1596</v>
      </c>
      <c r="B273" s="116" t="s">
        <v>293</v>
      </c>
      <c r="C273" s="108"/>
      <c r="D273" s="117">
        <v>25.36</v>
      </c>
      <c r="E273" s="177">
        <f t="shared" si="92"/>
        <v>0</v>
      </c>
      <c r="F273" s="177">
        <f t="shared" si="93"/>
        <v>0</v>
      </c>
      <c r="G273" s="6"/>
      <c r="H273" s="5"/>
      <c r="I273" s="7"/>
      <c r="J273" s="7"/>
      <c r="K273" s="177">
        <f t="shared" si="94"/>
        <v>0</v>
      </c>
      <c r="L273" s="7"/>
      <c r="M273" s="5"/>
      <c r="N273" s="177"/>
      <c r="O273" s="177">
        <f t="shared" si="95"/>
        <v>0</v>
      </c>
      <c r="P273" s="177">
        <f t="shared" si="96"/>
        <v>0</v>
      </c>
      <c r="Q273" s="224">
        <v>0</v>
      </c>
      <c r="R273" s="180">
        <f t="shared" si="69"/>
        <v>0</v>
      </c>
      <c r="S273" s="180">
        <f t="shared" si="97"/>
        <v>0</v>
      </c>
      <c r="T273" s="181"/>
      <c r="U273" s="214"/>
      <c r="V273" s="214"/>
      <c r="W273" s="214"/>
      <c r="X273" s="214"/>
      <c r="Y273" s="214"/>
      <c r="Z273" s="183">
        <v>34.94</v>
      </c>
      <c r="AA273" s="184" t="s">
        <v>217</v>
      </c>
      <c r="AB273" s="24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21.95" customHeight="1">
      <c r="A274" s="106">
        <v>1597</v>
      </c>
      <c r="B274" s="116" t="s">
        <v>294</v>
      </c>
      <c r="C274" s="108"/>
      <c r="D274" s="117">
        <v>25.36</v>
      </c>
      <c r="E274" s="177">
        <f t="shared" si="92"/>
        <v>0</v>
      </c>
      <c r="F274" s="177">
        <f t="shared" si="93"/>
        <v>0</v>
      </c>
      <c r="G274" s="6"/>
      <c r="H274" s="5"/>
      <c r="I274" s="7"/>
      <c r="J274" s="7"/>
      <c r="K274" s="177">
        <f t="shared" si="94"/>
        <v>0</v>
      </c>
      <c r="L274" s="7"/>
      <c r="M274" s="5"/>
      <c r="N274" s="177"/>
      <c r="O274" s="177">
        <f t="shared" si="95"/>
        <v>0</v>
      </c>
      <c r="P274" s="177">
        <f t="shared" si="96"/>
        <v>0</v>
      </c>
      <c r="Q274" s="224">
        <v>0</v>
      </c>
      <c r="R274" s="180">
        <f t="shared" si="69"/>
        <v>0</v>
      </c>
      <c r="S274" s="180">
        <f t="shared" si="97"/>
        <v>0</v>
      </c>
      <c r="T274" s="181"/>
      <c r="U274" s="214"/>
      <c r="V274" s="214"/>
      <c r="W274" s="214"/>
      <c r="X274" s="214"/>
      <c r="Y274" s="214"/>
      <c r="Z274" s="183">
        <v>34.94</v>
      </c>
      <c r="AA274" s="184" t="s">
        <v>217</v>
      </c>
      <c r="AB274" s="24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21.95" customHeight="1">
      <c r="A275" s="106">
        <v>1582</v>
      </c>
      <c r="B275" s="116" t="s">
        <v>295</v>
      </c>
      <c r="C275" s="108"/>
      <c r="D275" s="117">
        <v>25.36</v>
      </c>
      <c r="E275" s="177">
        <f t="shared" si="92"/>
        <v>0</v>
      </c>
      <c r="F275" s="177">
        <f t="shared" si="93"/>
        <v>0</v>
      </c>
      <c r="G275" s="6"/>
      <c r="H275" s="5"/>
      <c r="I275" s="7"/>
      <c r="J275" s="7"/>
      <c r="K275" s="177">
        <f t="shared" si="94"/>
        <v>0</v>
      </c>
      <c r="L275" s="7"/>
      <c r="M275" s="5"/>
      <c r="N275" s="177"/>
      <c r="O275" s="177">
        <f t="shared" si="95"/>
        <v>0</v>
      </c>
      <c r="P275" s="177">
        <f t="shared" si="96"/>
        <v>0</v>
      </c>
      <c r="Q275" s="224">
        <v>0</v>
      </c>
      <c r="R275" s="180">
        <f t="shared" si="69"/>
        <v>0</v>
      </c>
      <c r="S275" s="180">
        <f t="shared" si="97"/>
        <v>0</v>
      </c>
      <c r="T275" s="181"/>
      <c r="U275" s="214"/>
      <c r="V275" s="214"/>
      <c r="W275" s="214"/>
      <c r="X275" s="214"/>
      <c r="Y275" s="214"/>
      <c r="Z275" s="183">
        <v>34.94</v>
      </c>
      <c r="AA275" s="184" t="s">
        <v>217</v>
      </c>
      <c r="AB275" s="24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21.95" customHeight="1">
      <c r="A276" s="106">
        <v>1599</v>
      </c>
      <c r="B276" s="116" t="s">
        <v>296</v>
      </c>
      <c r="C276" s="108"/>
      <c r="D276" s="117">
        <v>25.36</v>
      </c>
      <c r="E276" s="177">
        <f t="shared" si="92"/>
        <v>0</v>
      </c>
      <c r="F276" s="177">
        <f t="shared" si="93"/>
        <v>0</v>
      </c>
      <c r="G276" s="6"/>
      <c r="H276" s="5"/>
      <c r="I276" s="7"/>
      <c r="J276" s="7"/>
      <c r="K276" s="177">
        <f t="shared" si="94"/>
        <v>0</v>
      </c>
      <c r="L276" s="7"/>
      <c r="M276" s="5"/>
      <c r="N276" s="177"/>
      <c r="O276" s="177">
        <f t="shared" si="95"/>
        <v>0</v>
      </c>
      <c r="P276" s="177">
        <f t="shared" si="96"/>
        <v>0</v>
      </c>
      <c r="Q276" s="224">
        <v>0</v>
      </c>
      <c r="R276" s="180">
        <f t="shared" si="69"/>
        <v>0</v>
      </c>
      <c r="S276" s="180">
        <f t="shared" si="97"/>
        <v>0</v>
      </c>
      <c r="T276" s="181"/>
      <c r="U276" s="214"/>
      <c r="V276" s="214"/>
      <c r="W276" s="214"/>
      <c r="X276" s="214"/>
      <c r="Y276" s="214"/>
      <c r="Z276" s="183">
        <v>34.94</v>
      </c>
      <c r="AA276" s="184" t="s">
        <v>217</v>
      </c>
      <c r="AB276" s="24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21.95" customHeight="1">
      <c r="A277" s="106">
        <v>1125</v>
      </c>
      <c r="B277" s="118" t="s">
        <v>286</v>
      </c>
      <c r="C277" s="108"/>
      <c r="D277" s="119">
        <v>47</v>
      </c>
      <c r="E277" s="177">
        <f t="shared" si="92"/>
        <v>0</v>
      </c>
      <c r="F277" s="177">
        <f t="shared" si="93"/>
        <v>0</v>
      </c>
      <c r="G277" s="6"/>
      <c r="H277" s="5"/>
      <c r="I277" s="7"/>
      <c r="J277" s="7"/>
      <c r="K277" s="177">
        <f t="shared" si="94"/>
        <v>0</v>
      </c>
      <c r="L277" s="7"/>
      <c r="M277" s="5"/>
      <c r="N277" s="177"/>
      <c r="O277" s="177">
        <f t="shared" si="95"/>
        <v>0</v>
      </c>
      <c r="P277" s="177">
        <f t="shared" si="96"/>
        <v>0</v>
      </c>
      <c r="Q277" s="224">
        <v>0</v>
      </c>
      <c r="R277" s="180">
        <f t="shared" si="69"/>
        <v>0</v>
      </c>
      <c r="S277" s="180">
        <f t="shared" si="97"/>
        <v>0</v>
      </c>
      <c r="T277" s="181"/>
      <c r="U277" s="214"/>
      <c r="V277" s="214"/>
      <c r="W277" s="214"/>
      <c r="X277" s="214"/>
      <c r="Y277" s="214"/>
      <c r="Z277" s="183">
        <v>57</v>
      </c>
      <c r="AA277" s="184" t="s">
        <v>217</v>
      </c>
      <c r="AB277" s="24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21.95" customHeight="1">
      <c r="A278" s="106">
        <v>1463</v>
      </c>
      <c r="B278" s="118" t="s">
        <v>287</v>
      </c>
      <c r="C278" s="108"/>
      <c r="D278" s="119">
        <v>47</v>
      </c>
      <c r="E278" s="177">
        <f t="shared" si="92"/>
        <v>0</v>
      </c>
      <c r="F278" s="177">
        <f t="shared" si="93"/>
        <v>0</v>
      </c>
      <c r="G278" s="6"/>
      <c r="H278" s="5"/>
      <c r="I278" s="7"/>
      <c r="J278" s="7"/>
      <c r="K278" s="177">
        <f t="shared" si="94"/>
        <v>0</v>
      </c>
      <c r="L278" s="7"/>
      <c r="M278" s="5"/>
      <c r="N278" s="177"/>
      <c r="O278" s="177">
        <f t="shared" si="95"/>
        <v>0</v>
      </c>
      <c r="P278" s="177">
        <f t="shared" si="96"/>
        <v>0</v>
      </c>
      <c r="Q278" s="224">
        <v>0</v>
      </c>
      <c r="R278" s="180">
        <f t="shared" si="69"/>
        <v>0</v>
      </c>
      <c r="S278" s="180">
        <f t="shared" si="97"/>
        <v>0</v>
      </c>
      <c r="T278" s="181"/>
      <c r="U278" s="214"/>
      <c r="V278" s="214"/>
      <c r="W278" s="214"/>
      <c r="X278" s="214"/>
      <c r="Y278" s="214"/>
      <c r="Z278" s="183">
        <v>57</v>
      </c>
      <c r="AA278" s="184" t="s">
        <v>217</v>
      </c>
      <c r="AB278" s="24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21.95" customHeight="1">
      <c r="A279" s="106">
        <v>1464</v>
      </c>
      <c r="B279" s="118" t="s">
        <v>288</v>
      </c>
      <c r="C279" s="108"/>
      <c r="D279" s="119">
        <v>47</v>
      </c>
      <c r="E279" s="177">
        <f t="shared" si="92"/>
        <v>0</v>
      </c>
      <c r="F279" s="177">
        <f t="shared" si="93"/>
        <v>0</v>
      </c>
      <c r="G279" s="6"/>
      <c r="H279" s="5"/>
      <c r="I279" s="7"/>
      <c r="J279" s="7"/>
      <c r="K279" s="177">
        <f t="shared" si="94"/>
        <v>0</v>
      </c>
      <c r="L279" s="7"/>
      <c r="M279" s="5"/>
      <c r="N279" s="177"/>
      <c r="O279" s="177">
        <f t="shared" si="95"/>
        <v>0</v>
      </c>
      <c r="P279" s="177">
        <f t="shared" si="96"/>
        <v>0</v>
      </c>
      <c r="Q279" s="224">
        <v>0</v>
      </c>
      <c r="R279" s="180">
        <f t="shared" si="69"/>
        <v>0</v>
      </c>
      <c r="S279" s="180">
        <f t="shared" si="97"/>
        <v>0</v>
      </c>
      <c r="T279" s="181"/>
      <c r="U279" s="214"/>
      <c r="V279" s="214"/>
      <c r="W279" s="214"/>
      <c r="X279" s="214"/>
      <c r="Y279" s="214"/>
      <c r="Z279" s="183">
        <v>57</v>
      </c>
      <c r="AA279" s="184" t="s">
        <v>217</v>
      </c>
      <c r="AB279" s="24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21.95" customHeight="1">
      <c r="A280" s="106">
        <v>1466</v>
      </c>
      <c r="B280" s="127" t="s">
        <v>289</v>
      </c>
      <c r="C280" s="125"/>
      <c r="D280" s="119">
        <v>47</v>
      </c>
      <c r="E280" s="226">
        <f t="shared" si="92"/>
        <v>0</v>
      </c>
      <c r="F280" s="177">
        <f t="shared" si="93"/>
        <v>0</v>
      </c>
      <c r="G280" s="6"/>
      <c r="H280" s="5"/>
      <c r="I280" s="7"/>
      <c r="J280" s="7"/>
      <c r="K280" s="177">
        <f t="shared" si="94"/>
        <v>0</v>
      </c>
      <c r="L280" s="7"/>
      <c r="M280" s="5"/>
      <c r="N280" s="177"/>
      <c r="O280" s="177">
        <f t="shared" si="95"/>
        <v>0</v>
      </c>
      <c r="P280" s="177">
        <f t="shared" si="96"/>
        <v>0</v>
      </c>
      <c r="Q280" s="224">
        <v>0</v>
      </c>
      <c r="R280" s="180">
        <f t="shared" si="69"/>
        <v>0</v>
      </c>
      <c r="S280" s="180">
        <f t="shared" si="97"/>
        <v>0</v>
      </c>
      <c r="T280" s="181"/>
      <c r="U280" s="214"/>
      <c r="V280" s="214"/>
      <c r="W280" s="214"/>
      <c r="X280" s="214"/>
      <c r="Y280" s="214"/>
      <c r="Z280" s="183">
        <v>57</v>
      </c>
      <c r="AA280" s="184" t="s">
        <v>217</v>
      </c>
      <c r="AB280" s="24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21.95" customHeight="1">
      <c r="A281" s="106">
        <v>1467</v>
      </c>
      <c r="B281" s="128" t="s">
        <v>290</v>
      </c>
      <c r="C281" s="108"/>
      <c r="D281" s="119">
        <v>47</v>
      </c>
      <c r="E281" s="227">
        <f t="shared" si="92"/>
        <v>0</v>
      </c>
      <c r="F281" s="228">
        <f t="shared" si="93"/>
        <v>0</v>
      </c>
      <c r="G281" s="120"/>
      <c r="H281" s="121"/>
      <c r="I281" s="121"/>
      <c r="J281" s="121"/>
      <c r="K281" s="229">
        <f t="shared" si="94"/>
        <v>0</v>
      </c>
      <c r="L281" s="121"/>
      <c r="M281" s="121"/>
      <c r="N281" s="229"/>
      <c r="O281" s="229">
        <f t="shared" si="95"/>
        <v>0</v>
      </c>
      <c r="P281" s="177">
        <f t="shared" si="96"/>
        <v>0</v>
      </c>
      <c r="Q281" s="224">
        <v>0</v>
      </c>
      <c r="R281" s="180">
        <f t="shared" si="69"/>
        <v>0</v>
      </c>
      <c r="S281" s="180">
        <f t="shared" si="97"/>
        <v>0</v>
      </c>
      <c r="T281" s="181"/>
      <c r="U281" s="214"/>
      <c r="V281" s="214"/>
      <c r="W281" s="214"/>
      <c r="X281" s="214"/>
      <c r="Y281" s="214"/>
      <c r="Z281" s="183">
        <v>57</v>
      </c>
      <c r="AA281" s="184" t="s">
        <v>217</v>
      </c>
      <c r="AB281" s="24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s="65" customFormat="1" ht="20.100000000000001" customHeight="1">
      <c r="A282" s="69"/>
      <c r="B282" s="68"/>
      <c r="C282" s="126" t="s">
        <v>89</v>
      </c>
      <c r="D282" s="88"/>
      <c r="E282" s="64"/>
      <c r="F282" s="64"/>
      <c r="G282" s="64"/>
      <c r="H282" s="70"/>
      <c r="I282" s="70"/>
      <c r="J282" s="70"/>
      <c r="K282" s="70"/>
      <c r="L282" s="70"/>
      <c r="M282" s="70"/>
      <c r="N282" s="70"/>
      <c r="O282" s="71"/>
      <c r="P282" s="72"/>
      <c r="Q282" s="73"/>
      <c r="R282" s="71"/>
      <c r="S282" s="64"/>
      <c r="T282" s="230"/>
      <c r="U282" s="231"/>
      <c r="V282" s="231"/>
      <c r="W282" s="231"/>
      <c r="X282" s="231"/>
      <c r="Y282" s="231"/>
      <c r="Z282" s="232"/>
      <c r="AA282" s="233"/>
      <c r="AB282" s="237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</row>
    <row r="283" spans="1:42" s="65" customFormat="1" ht="21.95" customHeight="1">
      <c r="A283" s="64"/>
      <c r="C283" s="64" t="s">
        <v>89</v>
      </c>
      <c r="D283" s="67"/>
      <c r="E283" s="74" t="s">
        <v>7</v>
      </c>
      <c r="F283" s="75" t="s">
        <v>15</v>
      </c>
      <c r="G283" s="171"/>
      <c r="H283" s="172"/>
      <c r="I283" s="173"/>
      <c r="J283" s="171"/>
      <c r="K283" s="172"/>
      <c r="L283" s="173"/>
      <c r="M283" s="171"/>
      <c r="N283" s="172"/>
      <c r="O283" s="173"/>
      <c r="P283" s="174"/>
      <c r="Q283" s="250" t="s">
        <v>90</v>
      </c>
      <c r="R283" s="250"/>
      <c r="S283" s="234"/>
      <c r="T283" s="235"/>
      <c r="U283" s="231"/>
      <c r="V283" s="231"/>
      <c r="W283" s="231"/>
      <c r="X283" s="231"/>
      <c r="Y283" s="231"/>
      <c r="Z283" s="236"/>
      <c r="AA283" s="237"/>
      <c r="AB283" s="237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</row>
    <row r="284" spans="1:42" s="65" customFormat="1" ht="21.95" customHeight="1">
      <c r="A284" s="64"/>
      <c r="C284" s="64" t="s">
        <v>89</v>
      </c>
      <c r="D284" s="67"/>
      <c r="E284" s="77">
        <f>SUM(E13:E281)</f>
        <v>0</v>
      </c>
      <c r="F284" s="77">
        <f>SUM(R13:R281)</f>
        <v>0</v>
      </c>
      <c r="G284" s="78"/>
      <c r="H284" s="76"/>
      <c r="I284" s="77"/>
      <c r="J284" s="78"/>
      <c r="K284" s="76"/>
      <c r="L284" s="77"/>
      <c r="M284" s="78"/>
      <c r="N284" s="76"/>
      <c r="O284" s="77"/>
      <c r="P284" s="122"/>
      <c r="Q284" s="251">
        <f>SUM(F13:F281)</f>
        <v>0</v>
      </c>
      <c r="R284" s="252"/>
      <c r="S284" s="234"/>
      <c r="T284" s="235"/>
      <c r="U284" s="231"/>
      <c r="V284" s="231"/>
      <c r="W284" s="231"/>
      <c r="X284" s="231"/>
      <c r="Y284" s="231"/>
      <c r="Z284" s="236"/>
      <c r="AA284" s="237"/>
      <c r="AB284" s="237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</row>
    <row r="285" spans="1:42" ht="15" customHeight="1">
      <c r="A285" s="176"/>
      <c r="B285" s="238"/>
      <c r="C285" s="239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6"/>
      <c r="V285" s="176"/>
      <c r="W285" s="176"/>
      <c r="X285" s="176"/>
      <c r="Y285" s="176"/>
      <c r="Z285" s="176"/>
      <c r="AA285" s="176"/>
      <c r="AB285" s="176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6.5" customHeight="1">
      <c r="A286" s="176"/>
      <c r="B286" s="242" t="s">
        <v>91</v>
      </c>
      <c r="C286" s="239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6"/>
      <c r="V286" s="176"/>
      <c r="W286" s="176"/>
      <c r="X286" s="176"/>
      <c r="Y286" s="176"/>
      <c r="Z286" s="176"/>
      <c r="AA286" s="176"/>
      <c r="AB286" s="176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6.5" customHeight="1">
      <c r="A287" s="176"/>
      <c r="B287" s="242" t="s">
        <v>92</v>
      </c>
      <c r="C287" s="239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6"/>
      <c r="V287" s="176"/>
      <c r="W287" s="176"/>
      <c r="X287" s="176"/>
      <c r="Y287" s="176"/>
      <c r="Z287" s="176"/>
      <c r="AA287" s="176"/>
      <c r="AB287" s="176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6.5" customHeight="1">
      <c r="A288" s="1"/>
      <c r="B288" s="123" t="s">
        <v>93</v>
      </c>
      <c r="C288" s="8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6.5" customHeight="1">
      <c r="A289" s="1"/>
      <c r="B289" s="123" t="s">
        <v>94</v>
      </c>
      <c r="C289" s="8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6.5" customHeight="1">
      <c r="A290" s="1"/>
      <c r="B290" s="124" t="s">
        <v>95</v>
      </c>
      <c r="C290" s="8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6.5" customHeight="1">
      <c r="A291" s="1"/>
      <c r="B291" s="124" t="s">
        <v>96</v>
      </c>
      <c r="C291" s="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5" customHeight="1">
      <c r="A292" s="1"/>
      <c r="B292" s="1"/>
      <c r="C292" s="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5" customHeight="1">
      <c r="A293" s="1"/>
      <c r="B293" s="1"/>
      <c r="C293" s="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5" customHeight="1">
      <c r="A294" s="1"/>
      <c r="B294" s="1"/>
      <c r="C294" s="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5" customHeight="1">
      <c r="A295" s="1"/>
      <c r="B295" s="1"/>
      <c r="C295" s="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>
      <c r="A296" s="1"/>
      <c r="B296" s="1"/>
      <c r="C296" s="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>
      <c r="A297" s="1"/>
      <c r="B297" s="1"/>
      <c r="C297" s="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>
      <c r="A298" s="1"/>
      <c r="B298" s="1"/>
      <c r="C298" s="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>
      <c r="A299" s="1"/>
      <c r="B299" s="1"/>
      <c r="C299" s="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>
      <c r="A300" s="1"/>
      <c r="B300" s="1"/>
      <c r="C300" s="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>
      <c r="A301" s="1"/>
      <c r="B301" s="1"/>
      <c r="C301" s="8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>
      <c r="A302" s="1"/>
      <c r="B302" s="1"/>
      <c r="C302" s="8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>
      <c r="A303" s="1"/>
      <c r="B303" s="1"/>
      <c r="C303" s="8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>
      <c r="A304" s="1"/>
      <c r="B304" s="1"/>
      <c r="C304" s="8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>
      <c r="A305" s="1"/>
      <c r="B305" s="1"/>
      <c r="C305" s="8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>
      <c r="A306" s="1"/>
      <c r="B306" s="1"/>
      <c r="C306" s="8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>
      <c r="A307" s="1"/>
      <c r="B307" s="1"/>
      <c r="C307" s="8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>
      <c r="A308" s="1"/>
      <c r="B308" s="1"/>
      <c r="C308" s="8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>
      <c r="A309" s="1"/>
      <c r="B309" s="1"/>
      <c r="C309" s="8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>
      <c r="A310" s="1"/>
      <c r="B310" s="1"/>
      <c r="C310" s="8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>
      <c r="A311" s="1"/>
      <c r="B311" s="1"/>
      <c r="C311" s="8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>
      <c r="A312" s="1"/>
      <c r="B312" s="1"/>
      <c r="C312" s="8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>
      <c r="A313" s="1"/>
      <c r="B313" s="1"/>
      <c r="C313" s="8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>
      <c r="A314" s="1"/>
      <c r="B314" s="1"/>
      <c r="C314" s="8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>
      <c r="A315" s="1"/>
      <c r="B315" s="1"/>
      <c r="C315" s="8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>
      <c r="A316" s="1"/>
      <c r="B316" s="1"/>
      <c r="C316" s="8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>
      <c r="A317" s="1"/>
      <c r="B317" s="1"/>
      <c r="C317" s="8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>
      <c r="A318" s="1"/>
      <c r="B318" s="1"/>
      <c r="C318" s="8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>
      <c r="A319" s="1"/>
      <c r="B319" s="1"/>
      <c r="C319" s="8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>
      <c r="A320" s="1"/>
      <c r="B320" s="1"/>
      <c r="C320" s="8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>
      <c r="A321" s="1"/>
      <c r="B321" s="1"/>
      <c r="C321" s="8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>
      <c r="A322" s="1"/>
      <c r="B322" s="1"/>
      <c r="C322" s="8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>
      <c r="A323" s="1"/>
      <c r="B323" s="1"/>
      <c r="C323" s="8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>
      <c r="A324" s="1"/>
      <c r="B324" s="1"/>
      <c r="C324" s="8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>
      <c r="A325" s="1"/>
      <c r="B325" s="1"/>
      <c r="C325" s="8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>
      <c r="A326" s="1"/>
      <c r="B326" s="1"/>
      <c r="C326" s="8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>
      <c r="A327" s="1"/>
      <c r="B327" s="1"/>
      <c r="C327" s="8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>
      <c r="A328" s="1"/>
      <c r="B328" s="1"/>
      <c r="C328" s="8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>
      <c r="A329" s="1"/>
      <c r="B329" s="1"/>
      <c r="C329" s="8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>
      <c r="A330" s="1"/>
      <c r="B330" s="1"/>
      <c r="C330" s="8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>
      <c r="A331" s="1"/>
      <c r="B331" s="1"/>
      <c r="C331" s="8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>
      <c r="A332" s="1"/>
      <c r="B332" s="1"/>
      <c r="C332" s="8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>
      <c r="A333" s="1"/>
      <c r="B333" s="1"/>
      <c r="C333" s="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>
      <c r="A334" s="1"/>
      <c r="B334" s="1"/>
      <c r="C334" s="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>
      <c r="A335" s="1"/>
      <c r="B335" s="1"/>
      <c r="C335" s="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>
      <c r="A336" s="1"/>
      <c r="B336" s="1"/>
      <c r="C336" s="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>
      <c r="A337" s="1"/>
      <c r="B337" s="1"/>
      <c r="C337" s="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>
      <c r="A338" s="1"/>
      <c r="B338" s="1"/>
      <c r="C338" s="8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>
      <c r="A339" s="1"/>
      <c r="B339" s="1"/>
      <c r="C339" s="8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>
      <c r="A340" s="1"/>
      <c r="B340" s="1"/>
      <c r="C340" s="8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>
      <c r="A341" s="1"/>
      <c r="B341" s="1"/>
      <c r="C341" s="8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>
      <c r="A342" s="1"/>
      <c r="B342" s="1"/>
      <c r="C342" s="8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>
      <c r="A343" s="1"/>
      <c r="B343" s="1"/>
      <c r="C343" s="8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>
      <c r="A344" s="1"/>
      <c r="B344" s="1"/>
      <c r="C344" s="8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>
      <c r="A345" s="1"/>
      <c r="B345" s="1"/>
      <c r="C345" s="8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>
      <c r="A346" s="1"/>
      <c r="B346" s="1"/>
      <c r="C346" s="8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>
      <c r="A347" s="1"/>
      <c r="B347" s="1"/>
      <c r="C347" s="8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>
      <c r="A348" s="1"/>
      <c r="B348" s="1"/>
      <c r="C348" s="8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>
      <c r="A349" s="1"/>
      <c r="B349" s="1"/>
      <c r="C349" s="8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>
      <c r="A350" s="1"/>
      <c r="B350" s="1"/>
      <c r="C350" s="8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>
      <c r="A351" s="1"/>
      <c r="B351" s="1"/>
      <c r="C351" s="8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>
      <c r="A352" s="1"/>
      <c r="B352" s="1"/>
      <c r="C352" s="8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>
      <c r="A353" s="1"/>
      <c r="B353" s="1"/>
      <c r="C353" s="8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>
      <c r="A354" s="1"/>
      <c r="B354" s="1"/>
      <c r="C354" s="8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>
      <c r="A355" s="1"/>
      <c r="B355" s="1"/>
      <c r="C355" s="8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>
      <c r="A356" s="1"/>
      <c r="B356" s="1"/>
      <c r="C356" s="8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>
      <c r="A357" s="1"/>
      <c r="B357" s="1"/>
      <c r="C357" s="8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>
      <c r="A358" s="1"/>
      <c r="B358" s="1"/>
      <c r="C358" s="8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>
      <c r="A359" s="1"/>
      <c r="B359" s="1"/>
      <c r="C359" s="8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>
      <c r="A360" s="1"/>
      <c r="B360" s="1"/>
      <c r="C360" s="8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>
      <c r="A361" s="1"/>
      <c r="B361" s="1"/>
      <c r="C361" s="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>
      <c r="A362" s="1"/>
      <c r="B362" s="1"/>
      <c r="C362" s="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>
      <c r="A363" s="1"/>
      <c r="B363" s="1"/>
      <c r="C363" s="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>
      <c r="A364" s="1"/>
      <c r="B364" s="1"/>
      <c r="C364" s="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>
      <c r="A365" s="1"/>
      <c r="B365" s="1"/>
      <c r="C365" s="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>
      <c r="A366" s="1"/>
      <c r="B366" s="1"/>
      <c r="C366" s="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>
      <c r="A367" s="1"/>
      <c r="B367" s="1"/>
      <c r="C367" s="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>
      <c r="A368" s="1"/>
      <c r="B368" s="1"/>
      <c r="C368" s="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>
      <c r="A369" s="1"/>
      <c r="B369" s="1"/>
      <c r="C369" s="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>
      <c r="A370" s="1"/>
      <c r="B370" s="1"/>
      <c r="C370" s="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>
      <c r="A371" s="1"/>
      <c r="B371" s="1"/>
      <c r="C371" s="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>
      <c r="A372" s="1"/>
      <c r="B372" s="1"/>
      <c r="C372" s="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>
      <c r="A373" s="1"/>
      <c r="B373" s="1"/>
      <c r="C373" s="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>
      <c r="A374" s="1"/>
      <c r="B374" s="1"/>
      <c r="C374" s="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>
      <c r="A375" s="1"/>
      <c r="B375" s="1"/>
      <c r="C375" s="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>
      <c r="A376" s="1"/>
      <c r="B376" s="1"/>
      <c r="C376" s="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>
      <c r="A377" s="1"/>
      <c r="B377" s="1"/>
      <c r="C377" s="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>
      <c r="A378" s="1"/>
      <c r="B378" s="1"/>
      <c r="C378" s="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>
      <c r="A379" s="1"/>
      <c r="B379" s="1"/>
      <c r="C379" s="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>
      <c r="A380" s="1"/>
      <c r="B380" s="1"/>
      <c r="C380" s="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>
      <c r="A381" s="1"/>
      <c r="B381" s="1"/>
      <c r="C381" s="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>
      <c r="A382" s="1"/>
      <c r="B382" s="1"/>
      <c r="C382" s="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>
      <c r="A383" s="1"/>
      <c r="B383" s="1"/>
      <c r="C383" s="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>
      <c r="A384" s="1"/>
      <c r="B384" s="1"/>
      <c r="C384" s="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>
      <c r="A385" s="1"/>
      <c r="B385" s="1"/>
      <c r="C385" s="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>
      <c r="A386" s="1"/>
      <c r="B386" s="1"/>
      <c r="C386" s="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>
      <c r="A387" s="1"/>
      <c r="B387" s="1"/>
      <c r="C387" s="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>
      <c r="A388" s="1"/>
      <c r="B388" s="1"/>
      <c r="C388" s="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>
      <c r="A389" s="1"/>
      <c r="B389" s="1"/>
      <c r="C389" s="8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>
      <c r="A390" s="1"/>
      <c r="B390" s="1"/>
      <c r="C390" s="8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>
      <c r="A391" s="1"/>
      <c r="B391" s="1"/>
      <c r="C391" s="8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>
      <c r="A392" s="1"/>
      <c r="B392" s="1"/>
      <c r="C392" s="8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>
      <c r="A393" s="1"/>
      <c r="B393" s="1"/>
      <c r="C393" s="8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>
      <c r="A394" s="1"/>
      <c r="B394" s="1"/>
      <c r="C394" s="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>
      <c r="A395" s="1"/>
      <c r="B395" s="1"/>
      <c r="C395" s="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>
      <c r="A396" s="1"/>
      <c r="B396" s="1"/>
      <c r="C396" s="8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>
      <c r="A397" s="1"/>
      <c r="B397" s="1"/>
      <c r="C397" s="8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>
      <c r="A398" s="1"/>
      <c r="B398" s="1"/>
      <c r="C398" s="8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>
      <c r="A399" s="1"/>
      <c r="B399" s="1"/>
      <c r="C399" s="8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>
      <c r="A400" s="1"/>
      <c r="B400" s="1"/>
      <c r="C400" s="8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>
      <c r="A401" s="1"/>
      <c r="B401" s="1"/>
      <c r="C401" s="8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>
      <c r="A402" s="1"/>
      <c r="B402" s="1"/>
      <c r="C402" s="8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>
      <c r="A403" s="1"/>
      <c r="B403" s="1"/>
      <c r="C403" s="8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>
      <c r="A404" s="1"/>
      <c r="B404" s="1"/>
      <c r="C404" s="8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>
      <c r="A405" s="1"/>
      <c r="B405" s="1"/>
      <c r="C405" s="8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>
      <c r="A406" s="1"/>
      <c r="B406" s="1"/>
      <c r="C406" s="8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>
      <c r="A407" s="1"/>
      <c r="B407" s="1"/>
      <c r="C407" s="8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>
      <c r="A408" s="1"/>
      <c r="B408" s="1"/>
      <c r="C408" s="8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>
      <c r="A409" s="1"/>
      <c r="B409" s="1"/>
      <c r="C409" s="8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>
      <c r="A410" s="1"/>
      <c r="B410" s="1"/>
      <c r="C410" s="8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>
      <c r="A411" s="1"/>
      <c r="B411" s="1"/>
      <c r="C411" s="8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>
      <c r="A412" s="1"/>
      <c r="B412" s="1"/>
      <c r="C412" s="8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>
      <c r="A413" s="1"/>
      <c r="B413" s="1"/>
      <c r="C413" s="8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>
      <c r="A414" s="1"/>
      <c r="B414" s="1"/>
      <c r="C414" s="8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>
      <c r="A415" s="1"/>
      <c r="B415" s="1"/>
      <c r="C415" s="8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>
      <c r="A416" s="1"/>
      <c r="B416" s="1"/>
      <c r="C416" s="8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>
      <c r="A417" s="1"/>
      <c r="B417" s="1"/>
      <c r="C417" s="8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>
      <c r="A418" s="1"/>
      <c r="B418" s="1"/>
      <c r="C418" s="8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>
      <c r="A419" s="1"/>
      <c r="B419" s="1"/>
      <c r="C419" s="8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>
      <c r="A420" s="1"/>
      <c r="B420" s="1"/>
      <c r="C420" s="8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>
      <c r="A421" s="1"/>
      <c r="B421" s="1"/>
      <c r="C421" s="8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>
      <c r="A422" s="1"/>
      <c r="B422" s="1"/>
      <c r="C422" s="8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>
      <c r="A423" s="1"/>
      <c r="B423" s="1"/>
      <c r="C423" s="8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>
      <c r="A424" s="1"/>
      <c r="B424" s="1"/>
      <c r="C424" s="8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>
      <c r="A425" s="1"/>
      <c r="B425" s="1"/>
      <c r="C425" s="8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>
      <c r="A426" s="1"/>
      <c r="B426" s="1"/>
      <c r="C426" s="8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>
      <c r="A427" s="1"/>
      <c r="B427" s="1"/>
      <c r="C427" s="8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>
      <c r="A428" s="1"/>
      <c r="B428" s="1"/>
      <c r="C428" s="8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>
      <c r="A429" s="1"/>
      <c r="B429" s="1"/>
      <c r="C429" s="8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>
      <c r="A430" s="1"/>
      <c r="B430" s="1"/>
      <c r="C430" s="8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>
      <c r="A431" s="1"/>
      <c r="B431" s="1"/>
      <c r="C431" s="8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>
      <c r="A432" s="1"/>
      <c r="B432" s="1"/>
      <c r="C432" s="8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>
      <c r="A433" s="1"/>
      <c r="B433" s="1"/>
      <c r="C433" s="8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>
      <c r="A434" s="1"/>
      <c r="B434" s="1"/>
      <c r="C434" s="8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>
      <c r="A435" s="1"/>
      <c r="B435" s="1"/>
      <c r="C435" s="8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>
      <c r="A436" s="1"/>
      <c r="B436" s="1"/>
      <c r="C436" s="8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>
      <c r="A437" s="1"/>
      <c r="B437" s="1"/>
      <c r="C437" s="8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>
      <c r="A438" s="1"/>
      <c r="B438" s="1"/>
      <c r="C438" s="8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>
      <c r="A439" s="1"/>
      <c r="B439" s="1"/>
      <c r="C439" s="8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>
      <c r="A440" s="1"/>
      <c r="B440" s="1"/>
      <c r="C440" s="8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>
      <c r="A441" s="1"/>
      <c r="B441" s="1"/>
      <c r="C441" s="8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>
      <c r="A442" s="1"/>
      <c r="B442" s="1"/>
      <c r="C442" s="8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>
      <c r="A443" s="1"/>
      <c r="B443" s="1"/>
      <c r="C443" s="8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>
      <c r="A444" s="1"/>
      <c r="B444" s="1"/>
      <c r="C444" s="8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>
      <c r="A445" s="1"/>
      <c r="B445" s="1"/>
      <c r="C445" s="8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>
      <c r="A446" s="1"/>
      <c r="B446" s="1"/>
      <c r="C446" s="8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>
      <c r="A447" s="1"/>
      <c r="B447" s="1"/>
      <c r="C447" s="8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>
      <c r="A448" s="1"/>
      <c r="B448" s="1"/>
      <c r="C448" s="8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>
      <c r="A449" s="1"/>
      <c r="B449" s="1"/>
      <c r="C449" s="8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>
      <c r="A450" s="1"/>
      <c r="B450" s="1"/>
      <c r="C450" s="8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>
      <c r="A451" s="1"/>
      <c r="B451" s="1"/>
      <c r="C451" s="8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>
      <c r="A452" s="1"/>
      <c r="B452" s="1"/>
      <c r="C452" s="8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>
      <c r="A453" s="1"/>
      <c r="B453" s="1"/>
      <c r="C453" s="8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>
      <c r="A454" s="1"/>
      <c r="B454" s="1"/>
      <c r="C454" s="8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>
      <c r="A455" s="1"/>
      <c r="B455" s="1"/>
      <c r="C455" s="8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>
      <c r="A456" s="1"/>
      <c r="B456" s="1"/>
      <c r="C456" s="8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>
      <c r="A457" s="1"/>
      <c r="B457" s="1"/>
      <c r="C457" s="8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>
      <c r="A458" s="1"/>
      <c r="B458" s="1"/>
      <c r="C458" s="8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>
      <c r="A459" s="1"/>
      <c r="B459" s="1"/>
      <c r="C459" s="8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>
      <c r="A460" s="1"/>
      <c r="B460" s="1"/>
      <c r="C460" s="8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>
      <c r="A461" s="1"/>
      <c r="B461" s="1"/>
      <c r="C461" s="8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>
      <c r="A462" s="1"/>
      <c r="B462" s="1"/>
      <c r="C462" s="8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>
      <c r="A463" s="1"/>
      <c r="B463" s="1"/>
      <c r="C463" s="8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>
      <c r="A464" s="1"/>
      <c r="B464" s="1"/>
      <c r="C464" s="8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>
      <c r="A465" s="1"/>
      <c r="B465" s="1"/>
      <c r="C465" s="8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>
      <c r="A466" s="1"/>
      <c r="B466" s="1"/>
      <c r="C466" s="8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>
      <c r="A467" s="1"/>
      <c r="B467" s="1"/>
      <c r="C467" s="8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>
      <c r="A468" s="1"/>
      <c r="B468" s="1"/>
      <c r="C468" s="8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>
      <c r="A469" s="1"/>
      <c r="B469" s="1"/>
      <c r="C469" s="8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>
      <c r="A470" s="1"/>
      <c r="B470" s="1"/>
      <c r="C470" s="8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>
      <c r="A471" s="1"/>
      <c r="B471" s="1"/>
      <c r="C471" s="8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>
      <c r="A472" s="1"/>
      <c r="B472" s="1"/>
      <c r="C472" s="8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>
      <c r="A473" s="1"/>
      <c r="B473" s="1"/>
      <c r="C473" s="8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>
      <c r="A474" s="1"/>
      <c r="B474" s="1"/>
      <c r="C474" s="8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>
      <c r="A475" s="1"/>
      <c r="B475" s="1"/>
      <c r="C475" s="8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>
      <c r="A476" s="1"/>
      <c r="B476" s="1"/>
      <c r="C476" s="8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>
      <c r="A477" s="1"/>
      <c r="B477" s="1"/>
      <c r="C477" s="8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>
      <c r="A478" s="1"/>
      <c r="B478" s="1"/>
      <c r="C478" s="8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>
      <c r="A479" s="1"/>
      <c r="B479" s="1"/>
      <c r="C479" s="8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>
      <c r="A480" s="1"/>
      <c r="B480" s="1"/>
      <c r="C480" s="8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>
      <c r="A481" s="1"/>
      <c r="B481" s="1"/>
      <c r="C481" s="8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>
      <c r="A482" s="1"/>
      <c r="B482" s="1"/>
      <c r="C482" s="8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>
      <c r="A483" s="1"/>
      <c r="B483" s="1"/>
      <c r="C483" s="8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>
      <c r="A484" s="1"/>
      <c r="B484" s="1"/>
      <c r="C484" s="8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>
      <c r="A485" s="1"/>
      <c r="B485" s="1"/>
      <c r="C485" s="8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>
      <c r="A486" s="1"/>
      <c r="B486" s="1"/>
      <c r="C486" s="8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>
      <c r="A487" s="1"/>
      <c r="B487" s="1"/>
      <c r="C487" s="8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>
      <c r="A488" s="1"/>
      <c r="B488" s="1"/>
      <c r="C488" s="8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>
      <c r="A489" s="1"/>
      <c r="B489" s="1"/>
      <c r="C489" s="8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>
      <c r="A490" s="1"/>
      <c r="B490" s="1"/>
      <c r="C490" s="8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>
      <c r="A491" s="1"/>
      <c r="B491" s="1"/>
      <c r="C491" s="8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>
      <c r="A492" s="1"/>
      <c r="B492" s="1"/>
      <c r="C492" s="8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>
      <c r="A493" s="1"/>
      <c r="B493" s="1"/>
      <c r="C493" s="8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>
      <c r="A494" s="1"/>
      <c r="B494" s="1"/>
      <c r="C494" s="8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>
      <c r="A495" s="1"/>
      <c r="B495" s="1"/>
      <c r="C495" s="8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>
      <c r="A496" s="1"/>
      <c r="B496" s="1"/>
      <c r="C496" s="8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>
      <c r="A497" s="1"/>
      <c r="B497" s="1"/>
      <c r="C497" s="8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>
      <c r="A498" s="1"/>
      <c r="B498" s="1"/>
      <c r="C498" s="8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>
      <c r="A499" s="1"/>
      <c r="B499" s="1"/>
      <c r="C499" s="8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>
      <c r="A500" s="1"/>
      <c r="B500" s="1"/>
      <c r="C500" s="8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>
      <c r="A501" s="1"/>
      <c r="B501" s="1"/>
      <c r="C501" s="8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>
      <c r="A502" s="1"/>
      <c r="B502" s="1"/>
      <c r="C502" s="8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>
      <c r="A503" s="1"/>
      <c r="B503" s="1"/>
      <c r="C503" s="8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>
      <c r="A504" s="1"/>
      <c r="B504" s="1"/>
      <c r="C504" s="8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>
      <c r="A505" s="1"/>
      <c r="B505" s="1"/>
      <c r="C505" s="8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>
      <c r="A506" s="1"/>
      <c r="B506" s="1"/>
      <c r="C506" s="8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>
      <c r="A507" s="1"/>
      <c r="B507" s="1"/>
      <c r="C507" s="8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>
      <c r="A508" s="1"/>
      <c r="B508" s="1"/>
      <c r="C508" s="8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>
      <c r="A509" s="1"/>
      <c r="B509" s="1"/>
      <c r="C509" s="8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>
      <c r="A510" s="1"/>
      <c r="B510" s="1"/>
      <c r="C510" s="8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>
      <c r="A511" s="1"/>
      <c r="B511" s="1"/>
      <c r="C511" s="8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>
      <c r="A512" s="1"/>
      <c r="B512" s="1"/>
      <c r="C512" s="8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>
      <c r="A513" s="1"/>
      <c r="B513" s="1"/>
      <c r="C513" s="8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>
      <c r="A514" s="1"/>
      <c r="B514" s="1"/>
      <c r="C514" s="8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>
      <c r="A515" s="1"/>
      <c r="B515" s="1"/>
      <c r="C515" s="8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>
      <c r="A516" s="1"/>
      <c r="B516" s="1"/>
      <c r="C516" s="8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>
      <c r="A517" s="1"/>
      <c r="B517" s="1"/>
      <c r="C517" s="8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>
      <c r="A518" s="1"/>
      <c r="B518" s="1"/>
      <c r="C518" s="8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>
      <c r="A519" s="1"/>
      <c r="B519" s="1"/>
      <c r="C519" s="8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>
      <c r="A520" s="1"/>
      <c r="B520" s="1"/>
      <c r="C520" s="8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>
      <c r="A521" s="1"/>
      <c r="B521" s="1"/>
      <c r="C521" s="8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>
      <c r="A522" s="1"/>
      <c r="B522" s="1"/>
      <c r="C522" s="8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>
      <c r="A523" s="1"/>
      <c r="B523" s="1"/>
      <c r="C523" s="8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>
      <c r="A524" s="1"/>
      <c r="B524" s="1"/>
      <c r="C524" s="8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>
      <c r="A525" s="1"/>
      <c r="B525" s="1"/>
      <c r="C525" s="8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>
      <c r="A526" s="1"/>
      <c r="B526" s="1"/>
      <c r="C526" s="8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>
      <c r="A527" s="1"/>
      <c r="B527" s="1"/>
      <c r="C527" s="8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>
      <c r="A528" s="1"/>
      <c r="B528" s="1"/>
      <c r="C528" s="8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>
      <c r="A529" s="1"/>
      <c r="B529" s="1"/>
      <c r="C529" s="8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>
      <c r="A530" s="1"/>
      <c r="B530" s="1"/>
      <c r="C530" s="8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>
      <c r="A531" s="1"/>
      <c r="B531" s="1"/>
      <c r="C531" s="8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>
      <c r="A532" s="1"/>
      <c r="B532" s="1"/>
      <c r="C532" s="8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>
      <c r="A533" s="1"/>
      <c r="B533" s="1"/>
      <c r="C533" s="8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>
      <c r="A534" s="1"/>
      <c r="B534" s="1"/>
      <c r="C534" s="8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>
      <c r="A535" s="1"/>
      <c r="B535" s="1"/>
      <c r="C535" s="8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>
      <c r="A536" s="1"/>
      <c r="B536" s="1"/>
      <c r="C536" s="8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>
      <c r="A537" s="1"/>
      <c r="B537" s="1"/>
      <c r="C537" s="8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>
      <c r="A538" s="1"/>
      <c r="B538" s="1"/>
      <c r="C538" s="8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>
      <c r="A539" s="1"/>
      <c r="B539" s="1"/>
      <c r="C539" s="8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>
      <c r="A540" s="1"/>
      <c r="B540" s="1"/>
      <c r="C540" s="8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>
      <c r="A541" s="1"/>
      <c r="B541" s="1"/>
      <c r="C541" s="8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>
      <c r="A542" s="1"/>
      <c r="B542" s="1"/>
      <c r="C542" s="8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>
      <c r="A543" s="1"/>
      <c r="B543" s="1"/>
      <c r="C543" s="8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>
      <c r="A544" s="1"/>
      <c r="B544" s="1"/>
      <c r="C544" s="8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>
      <c r="A545" s="1"/>
      <c r="B545" s="1"/>
      <c r="C545" s="8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>
      <c r="A546" s="1"/>
      <c r="B546" s="1"/>
      <c r="C546" s="8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>
      <c r="A547" s="1"/>
      <c r="B547" s="1"/>
      <c r="C547" s="8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>
      <c r="A548" s="1"/>
      <c r="B548" s="1"/>
      <c r="C548" s="8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>
      <c r="A549" s="1"/>
      <c r="B549" s="1"/>
      <c r="C549" s="8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>
      <c r="A550" s="1"/>
      <c r="B550" s="1"/>
      <c r="C550" s="8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>
      <c r="A551" s="1"/>
      <c r="B551" s="1"/>
      <c r="C551" s="8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>
      <c r="A552" s="1"/>
      <c r="B552" s="1"/>
      <c r="C552" s="8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>
      <c r="A553" s="1"/>
      <c r="B553" s="1"/>
      <c r="C553" s="8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>
      <c r="A554" s="1"/>
      <c r="B554" s="1"/>
      <c r="C554" s="8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>
      <c r="A555" s="1"/>
      <c r="B555" s="1"/>
      <c r="C555" s="8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>
      <c r="A556" s="1"/>
      <c r="B556" s="1"/>
      <c r="C556" s="8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>
      <c r="A557" s="1"/>
      <c r="B557" s="1"/>
      <c r="C557" s="8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>
      <c r="A558" s="1"/>
      <c r="B558" s="1"/>
      <c r="C558" s="8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>
      <c r="A559" s="1"/>
      <c r="B559" s="1"/>
      <c r="C559" s="8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>
      <c r="A560" s="1"/>
      <c r="B560" s="1"/>
      <c r="C560" s="8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>
      <c r="A561" s="1"/>
      <c r="B561" s="1"/>
      <c r="C561" s="8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>
      <c r="A562" s="1"/>
      <c r="B562" s="1"/>
      <c r="C562" s="8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>
      <c r="A563" s="1"/>
      <c r="B563" s="1"/>
      <c r="C563" s="8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>
      <c r="A564" s="1"/>
      <c r="B564" s="1"/>
      <c r="C564" s="8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>
      <c r="A565" s="1"/>
      <c r="B565" s="1"/>
      <c r="C565" s="8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>
      <c r="A566" s="1"/>
      <c r="B566" s="1"/>
      <c r="C566" s="8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>
      <c r="A567" s="1"/>
      <c r="B567" s="1"/>
      <c r="C567" s="8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>
      <c r="A568" s="1"/>
      <c r="B568" s="1"/>
      <c r="C568" s="8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>
      <c r="A569" s="1"/>
      <c r="B569" s="1"/>
      <c r="C569" s="8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>
      <c r="A570" s="1"/>
      <c r="B570" s="1"/>
      <c r="C570" s="8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>
      <c r="A571" s="1"/>
      <c r="B571" s="1"/>
      <c r="C571" s="8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>
      <c r="A572" s="1"/>
      <c r="B572" s="1"/>
      <c r="C572" s="8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>
      <c r="A573" s="1"/>
      <c r="B573" s="1"/>
      <c r="C573" s="8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>
      <c r="A574" s="1"/>
      <c r="B574" s="1"/>
      <c r="C574" s="8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>
      <c r="A575" s="1"/>
      <c r="B575" s="1"/>
      <c r="C575" s="8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>
      <c r="A576" s="1"/>
      <c r="B576" s="1"/>
      <c r="C576" s="8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>
      <c r="A577" s="1"/>
      <c r="B577" s="1"/>
      <c r="C577" s="8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>
      <c r="A578" s="1"/>
      <c r="B578" s="1"/>
      <c r="C578" s="8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>
      <c r="A579" s="1"/>
      <c r="B579" s="1"/>
      <c r="C579" s="8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>
      <c r="A580" s="1"/>
      <c r="B580" s="1"/>
      <c r="C580" s="8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>
      <c r="A581" s="1"/>
      <c r="B581" s="1"/>
      <c r="C581" s="8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>
      <c r="A582" s="1"/>
      <c r="B582" s="1"/>
      <c r="C582" s="8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>
      <c r="A583" s="1"/>
      <c r="B583" s="1"/>
      <c r="C583" s="8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>
      <c r="A584" s="1"/>
      <c r="B584" s="1"/>
      <c r="C584" s="8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>
      <c r="A585" s="1"/>
      <c r="B585" s="1"/>
      <c r="C585" s="8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>
      <c r="A586" s="1"/>
      <c r="B586" s="1"/>
      <c r="C586" s="8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>
      <c r="A587" s="1"/>
      <c r="B587" s="1"/>
      <c r="C587" s="8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>
      <c r="A588" s="1"/>
      <c r="B588" s="1"/>
      <c r="C588" s="8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>
      <c r="A589" s="1"/>
      <c r="B589" s="1"/>
      <c r="C589" s="8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>
      <c r="A590" s="1"/>
      <c r="B590" s="1"/>
      <c r="C590" s="8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>
      <c r="A591" s="1"/>
      <c r="B591" s="1"/>
      <c r="C591" s="8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>
      <c r="A592" s="1"/>
      <c r="B592" s="1"/>
      <c r="C592" s="8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>
      <c r="A593" s="1"/>
      <c r="B593" s="1"/>
      <c r="C593" s="8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>
      <c r="A594" s="1"/>
      <c r="B594" s="1"/>
      <c r="C594" s="8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>
      <c r="A595" s="1"/>
      <c r="B595" s="1"/>
      <c r="C595" s="8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>
      <c r="A596" s="1"/>
      <c r="B596" s="1"/>
      <c r="C596" s="8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>
      <c r="A597" s="1"/>
      <c r="B597" s="1"/>
      <c r="C597" s="8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>
      <c r="A598" s="1"/>
      <c r="B598" s="1"/>
      <c r="C598" s="8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>
      <c r="A599" s="1"/>
      <c r="B599" s="1"/>
      <c r="C599" s="8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>
      <c r="A600" s="1"/>
      <c r="B600" s="1"/>
      <c r="C600" s="8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>
      <c r="A601" s="1"/>
      <c r="B601" s="1"/>
      <c r="C601" s="8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>
      <c r="A602" s="1"/>
      <c r="B602" s="1"/>
      <c r="C602" s="8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>
      <c r="A603" s="1"/>
      <c r="B603" s="1"/>
      <c r="C603" s="8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>
      <c r="A604" s="1"/>
      <c r="B604" s="1"/>
      <c r="C604" s="8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>
      <c r="A605" s="1"/>
      <c r="B605" s="1"/>
      <c r="C605" s="8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>
      <c r="A606" s="1"/>
      <c r="B606" s="1"/>
      <c r="C606" s="8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>
      <c r="A607" s="1"/>
      <c r="B607" s="1"/>
      <c r="C607" s="8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>
      <c r="A608" s="1"/>
      <c r="B608" s="1"/>
      <c r="C608" s="8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>
      <c r="A609" s="1"/>
      <c r="B609" s="1"/>
      <c r="C609" s="8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>
      <c r="A610" s="1"/>
      <c r="B610" s="1"/>
      <c r="C610" s="8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>
      <c r="A611" s="1"/>
      <c r="B611" s="1"/>
      <c r="C611" s="8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>
      <c r="A612" s="1"/>
      <c r="B612" s="1"/>
      <c r="C612" s="8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>
      <c r="A613" s="1"/>
      <c r="B613" s="1"/>
      <c r="C613" s="8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>
      <c r="A614" s="1"/>
      <c r="B614" s="1"/>
      <c r="C614" s="8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>
      <c r="A615" s="1"/>
      <c r="B615" s="1"/>
      <c r="C615" s="8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>
      <c r="A616" s="1"/>
      <c r="B616" s="1"/>
      <c r="C616" s="8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>
      <c r="A617" s="1"/>
      <c r="B617" s="1"/>
      <c r="C617" s="8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>
      <c r="A618" s="1"/>
      <c r="B618" s="1"/>
      <c r="C618" s="8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>
      <c r="A619" s="1"/>
      <c r="B619" s="1"/>
      <c r="C619" s="8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>
      <c r="A620" s="1"/>
      <c r="B620" s="1"/>
      <c r="C620" s="8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>
      <c r="A621" s="1"/>
      <c r="B621" s="1"/>
      <c r="C621" s="8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>
      <c r="A622" s="1"/>
      <c r="B622" s="1"/>
      <c r="C622" s="8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>
      <c r="A623" s="1"/>
      <c r="B623" s="1"/>
      <c r="C623" s="8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>
      <c r="A624" s="1"/>
      <c r="B624" s="1"/>
      <c r="C624" s="8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>
      <c r="A625" s="1"/>
      <c r="B625" s="1"/>
      <c r="C625" s="8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>
      <c r="A626" s="1"/>
      <c r="B626" s="1"/>
      <c r="C626" s="8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>
      <c r="A627" s="1"/>
      <c r="B627" s="1"/>
      <c r="C627" s="8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>
      <c r="A628" s="1"/>
      <c r="B628" s="1"/>
      <c r="C628" s="8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>
      <c r="A629" s="1"/>
      <c r="B629" s="1"/>
      <c r="C629" s="8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>
      <c r="A630" s="1"/>
      <c r="B630" s="1"/>
      <c r="C630" s="8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>
      <c r="A631" s="1"/>
      <c r="B631" s="1"/>
      <c r="C631" s="8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>
      <c r="A632" s="1"/>
      <c r="B632" s="1"/>
      <c r="C632" s="8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>
      <c r="A633" s="1"/>
      <c r="B633" s="1"/>
      <c r="C633" s="8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>
      <c r="A634" s="1"/>
      <c r="B634" s="1"/>
      <c r="C634" s="8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>
      <c r="A635" s="1"/>
      <c r="B635" s="1"/>
      <c r="C635" s="8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>
      <c r="A636" s="1"/>
      <c r="B636" s="1"/>
      <c r="C636" s="8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>
      <c r="A637" s="1"/>
      <c r="B637" s="1"/>
      <c r="C637" s="8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>
      <c r="A638" s="1"/>
      <c r="B638" s="1"/>
      <c r="C638" s="8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>
      <c r="A639" s="1"/>
      <c r="B639" s="1"/>
      <c r="C639" s="8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>
      <c r="A640" s="1"/>
      <c r="B640" s="1"/>
      <c r="C640" s="8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>
      <c r="A641" s="1"/>
      <c r="B641" s="1"/>
      <c r="C641" s="8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>
      <c r="A642" s="1"/>
      <c r="B642" s="1"/>
      <c r="C642" s="8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>
      <c r="A643" s="1"/>
      <c r="B643" s="1"/>
      <c r="C643" s="8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>
      <c r="A644" s="1"/>
      <c r="B644" s="1"/>
      <c r="C644" s="8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>
      <c r="A645" s="1"/>
      <c r="B645" s="1"/>
      <c r="C645" s="8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>
      <c r="A646" s="1"/>
      <c r="B646" s="1"/>
      <c r="C646" s="8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>
      <c r="A647" s="1"/>
      <c r="B647" s="1"/>
      <c r="C647" s="8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>
      <c r="A648" s="1"/>
      <c r="B648" s="1"/>
      <c r="C648" s="8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>
      <c r="A649" s="1"/>
      <c r="B649" s="1"/>
      <c r="C649" s="8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>
      <c r="A650" s="1"/>
      <c r="B650" s="1"/>
      <c r="C650" s="8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>
      <c r="A651" s="1"/>
      <c r="B651" s="1"/>
      <c r="C651" s="8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>
      <c r="A652" s="1"/>
      <c r="B652" s="1"/>
      <c r="C652" s="8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>
      <c r="A653" s="1"/>
      <c r="B653" s="1"/>
      <c r="C653" s="8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>
      <c r="A654" s="1"/>
      <c r="B654" s="1"/>
      <c r="C654" s="8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>
      <c r="A655" s="1"/>
      <c r="B655" s="1"/>
      <c r="C655" s="8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>
      <c r="A656" s="1"/>
      <c r="B656" s="1"/>
      <c r="C656" s="8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>
      <c r="A657" s="1"/>
      <c r="B657" s="1"/>
      <c r="C657" s="8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>
      <c r="A658" s="1"/>
      <c r="B658" s="1"/>
      <c r="C658" s="8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>
      <c r="A659" s="1"/>
      <c r="B659" s="1"/>
      <c r="C659" s="8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>
      <c r="A660" s="1"/>
      <c r="B660" s="1"/>
      <c r="C660" s="8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>
      <c r="A661" s="1"/>
      <c r="B661" s="1"/>
      <c r="C661" s="8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>
      <c r="A662" s="1"/>
      <c r="B662" s="1"/>
      <c r="C662" s="8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>
      <c r="A663" s="1"/>
      <c r="B663" s="1"/>
      <c r="C663" s="8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>
      <c r="A664" s="1"/>
      <c r="B664" s="1"/>
      <c r="C664" s="8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>
      <c r="A665" s="1"/>
      <c r="B665" s="1"/>
      <c r="C665" s="8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>
      <c r="A666" s="1"/>
      <c r="B666" s="1"/>
      <c r="C666" s="8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>
      <c r="A667" s="1"/>
      <c r="B667" s="1"/>
      <c r="C667" s="8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>
      <c r="A668" s="1"/>
      <c r="B668" s="1"/>
      <c r="C668" s="8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>
      <c r="A669" s="1"/>
      <c r="B669" s="1"/>
      <c r="C669" s="8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>
      <c r="A670" s="1"/>
      <c r="B670" s="1"/>
      <c r="C670" s="8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>
      <c r="A671" s="1"/>
      <c r="B671" s="1"/>
      <c r="C671" s="8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>
      <c r="A672" s="1"/>
      <c r="B672" s="1"/>
      <c r="C672" s="8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>
      <c r="A673" s="1"/>
      <c r="B673" s="1"/>
      <c r="C673" s="8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>
      <c r="A674" s="1"/>
      <c r="B674" s="1"/>
      <c r="C674" s="8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>
      <c r="A675" s="1"/>
      <c r="B675" s="1"/>
      <c r="C675" s="8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>
      <c r="A676" s="1"/>
      <c r="B676" s="1"/>
      <c r="C676" s="8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>
      <c r="A677" s="1"/>
      <c r="B677" s="1"/>
      <c r="C677" s="8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>
      <c r="A678" s="1"/>
      <c r="B678" s="1"/>
      <c r="C678" s="8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>
      <c r="A679" s="1"/>
      <c r="B679" s="1"/>
      <c r="C679" s="8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>
      <c r="A680" s="1"/>
      <c r="B680" s="1"/>
      <c r="C680" s="8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>
      <c r="A681" s="1"/>
      <c r="B681" s="1"/>
      <c r="C681" s="8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>
      <c r="A682" s="1"/>
      <c r="B682" s="1"/>
      <c r="C682" s="8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>
      <c r="A683" s="1"/>
      <c r="B683" s="1"/>
      <c r="C683" s="8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>
      <c r="A684" s="1"/>
      <c r="B684" s="1"/>
      <c r="C684" s="8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>
      <c r="A685" s="1"/>
      <c r="B685" s="1"/>
      <c r="C685" s="8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>
      <c r="A686" s="1"/>
      <c r="B686" s="1"/>
      <c r="C686" s="8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>
      <c r="A687" s="1"/>
      <c r="B687" s="1"/>
      <c r="C687" s="8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>
      <c r="A688" s="1"/>
      <c r="B688" s="1"/>
      <c r="C688" s="8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>
      <c r="A689" s="1"/>
      <c r="B689" s="1"/>
      <c r="C689" s="8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>
      <c r="A690" s="1"/>
      <c r="B690" s="1"/>
      <c r="C690" s="8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>
      <c r="A691" s="1"/>
      <c r="B691" s="1"/>
      <c r="C691" s="8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>
      <c r="A692" s="1"/>
      <c r="B692" s="1"/>
      <c r="C692" s="8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>
      <c r="A693" s="1"/>
      <c r="B693" s="1"/>
      <c r="C693" s="8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>
      <c r="A694" s="1"/>
      <c r="B694" s="1"/>
      <c r="C694" s="8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>
      <c r="A695" s="1"/>
      <c r="B695" s="1"/>
      <c r="C695" s="8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>
      <c r="A696" s="1"/>
      <c r="B696" s="1"/>
      <c r="C696" s="8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>
      <c r="A697" s="1"/>
      <c r="B697" s="1"/>
      <c r="C697" s="8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>
      <c r="A698" s="1"/>
      <c r="B698" s="1"/>
      <c r="C698" s="8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>
      <c r="A699" s="1"/>
      <c r="B699" s="1"/>
      <c r="C699" s="8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>
      <c r="A700" s="1"/>
      <c r="B700" s="1"/>
      <c r="C700" s="8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>
      <c r="A701" s="1"/>
      <c r="B701" s="1"/>
      <c r="C701" s="8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>
      <c r="A702" s="1"/>
      <c r="B702" s="1"/>
      <c r="C702" s="8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>
      <c r="A703" s="1"/>
      <c r="B703" s="1"/>
      <c r="C703" s="8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>
      <c r="A704" s="1"/>
      <c r="B704" s="1"/>
      <c r="C704" s="8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>
      <c r="A705" s="1"/>
      <c r="B705" s="1"/>
      <c r="C705" s="8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>
      <c r="A706" s="1"/>
      <c r="B706" s="1"/>
      <c r="C706" s="8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>
      <c r="A707" s="1"/>
      <c r="B707" s="1"/>
      <c r="C707" s="8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>
      <c r="A708" s="1"/>
      <c r="B708" s="1"/>
      <c r="C708" s="8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>
      <c r="A709" s="1"/>
      <c r="B709" s="1"/>
      <c r="C709" s="8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>
      <c r="A710" s="1"/>
      <c r="B710" s="1"/>
      <c r="C710" s="8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>
      <c r="A711" s="1"/>
      <c r="B711" s="1"/>
      <c r="C711" s="8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>
      <c r="A712" s="1"/>
      <c r="B712" s="1"/>
      <c r="C712" s="8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>
      <c r="A713" s="1"/>
      <c r="B713" s="1"/>
      <c r="C713" s="8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>
      <c r="A714" s="1"/>
      <c r="B714" s="1"/>
      <c r="C714" s="8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>
      <c r="A715" s="1"/>
      <c r="B715" s="1"/>
      <c r="C715" s="8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>
      <c r="A716" s="1"/>
      <c r="B716" s="1"/>
      <c r="C716" s="8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>
      <c r="A717" s="1"/>
      <c r="B717" s="1"/>
      <c r="C717" s="8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>
      <c r="A718" s="1"/>
      <c r="B718" s="1"/>
      <c r="C718" s="8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>
      <c r="A719" s="1"/>
      <c r="B719" s="1"/>
      <c r="C719" s="8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>
      <c r="A720" s="1"/>
      <c r="B720" s="1"/>
      <c r="C720" s="8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>
      <c r="A721" s="1"/>
      <c r="B721" s="1"/>
      <c r="C721" s="8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>
      <c r="A722" s="1"/>
      <c r="B722" s="1"/>
      <c r="C722" s="8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>
      <c r="A723" s="1"/>
      <c r="B723" s="1"/>
      <c r="C723" s="8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>
      <c r="A724" s="1"/>
      <c r="B724" s="1"/>
      <c r="C724" s="8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>
      <c r="A725" s="1"/>
      <c r="B725" s="1"/>
      <c r="C725" s="8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>
      <c r="A726" s="1"/>
      <c r="B726" s="1"/>
      <c r="C726" s="8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>
      <c r="A727" s="1"/>
      <c r="B727" s="1"/>
      <c r="C727" s="8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>
      <c r="A728" s="1"/>
      <c r="B728" s="1"/>
      <c r="C728" s="8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>
      <c r="A729" s="1"/>
      <c r="B729" s="1"/>
      <c r="C729" s="8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>
      <c r="A730" s="1"/>
      <c r="B730" s="1"/>
      <c r="C730" s="8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>
      <c r="A731" s="1"/>
      <c r="B731" s="1"/>
      <c r="C731" s="8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>
      <c r="A732" s="1"/>
      <c r="B732" s="1"/>
      <c r="C732" s="8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>
      <c r="A733" s="1"/>
      <c r="B733" s="1"/>
      <c r="C733" s="8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>
      <c r="A734" s="1"/>
      <c r="B734" s="1"/>
      <c r="C734" s="8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>
      <c r="A735" s="1"/>
      <c r="B735" s="1"/>
      <c r="C735" s="8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>
      <c r="A736" s="1"/>
      <c r="B736" s="1"/>
      <c r="C736" s="8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>
      <c r="A737" s="1"/>
      <c r="B737" s="1"/>
      <c r="C737" s="8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>
      <c r="A738" s="1"/>
      <c r="B738" s="1"/>
      <c r="C738" s="8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>
      <c r="A739" s="1"/>
      <c r="B739" s="1"/>
      <c r="C739" s="8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>
      <c r="A740" s="1"/>
      <c r="B740" s="1"/>
      <c r="C740" s="8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>
      <c r="A741" s="1"/>
      <c r="B741" s="1"/>
      <c r="C741" s="8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>
      <c r="A742" s="1"/>
      <c r="B742" s="1"/>
      <c r="C742" s="8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>
      <c r="A743" s="1"/>
      <c r="B743" s="1"/>
      <c r="C743" s="8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>
      <c r="A744" s="1"/>
      <c r="B744" s="1"/>
      <c r="C744" s="8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>
      <c r="A745" s="1"/>
      <c r="B745" s="1"/>
      <c r="C745" s="8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>
      <c r="A746" s="1"/>
      <c r="B746" s="1"/>
      <c r="C746" s="8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>
      <c r="A747" s="1"/>
      <c r="B747" s="1"/>
      <c r="C747" s="8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>
      <c r="A748" s="1"/>
      <c r="B748" s="1"/>
      <c r="C748" s="8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>
      <c r="A749" s="1"/>
      <c r="B749" s="1"/>
      <c r="C749" s="8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>
      <c r="A750" s="1"/>
      <c r="B750" s="1"/>
      <c r="C750" s="8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>
      <c r="A751" s="1"/>
      <c r="B751" s="1"/>
      <c r="C751" s="8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>
      <c r="A752" s="1"/>
      <c r="B752" s="1"/>
      <c r="C752" s="8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>
      <c r="A753" s="1"/>
      <c r="B753" s="1"/>
      <c r="C753" s="8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>
      <c r="A754" s="1"/>
      <c r="B754" s="1"/>
      <c r="C754" s="8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>
      <c r="A755" s="1"/>
      <c r="B755" s="1"/>
      <c r="C755" s="8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>
      <c r="A756" s="1"/>
      <c r="B756" s="1"/>
      <c r="C756" s="8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>
      <c r="A757" s="1"/>
      <c r="B757" s="1"/>
      <c r="C757" s="8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>
      <c r="A758" s="1"/>
      <c r="B758" s="1"/>
      <c r="C758" s="8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>
      <c r="A759" s="1"/>
      <c r="B759" s="1"/>
      <c r="C759" s="8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>
      <c r="A760" s="1"/>
      <c r="B760" s="1"/>
      <c r="C760" s="8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>
      <c r="A761" s="1"/>
      <c r="B761" s="1"/>
      <c r="C761" s="8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>
      <c r="A762" s="1"/>
      <c r="B762" s="1"/>
      <c r="C762" s="8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>
      <c r="A763" s="1"/>
      <c r="B763" s="1"/>
      <c r="C763" s="8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>
      <c r="A764" s="1"/>
      <c r="B764" s="1"/>
      <c r="C764" s="8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>
      <c r="A765" s="1"/>
      <c r="B765" s="1"/>
      <c r="C765" s="8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>
      <c r="A766" s="1"/>
      <c r="B766" s="1"/>
      <c r="C766" s="8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>
      <c r="A767" s="1"/>
      <c r="B767" s="1"/>
      <c r="C767" s="8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>
      <c r="A768" s="1"/>
      <c r="B768" s="1"/>
      <c r="C768" s="8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>
      <c r="A769" s="1"/>
      <c r="B769" s="1"/>
      <c r="C769" s="8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>
      <c r="A770" s="1"/>
      <c r="B770" s="1"/>
      <c r="C770" s="8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>
      <c r="A771" s="1"/>
      <c r="B771" s="1"/>
      <c r="C771" s="8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>
      <c r="A772" s="1"/>
      <c r="B772" s="1"/>
      <c r="C772" s="8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>
      <c r="A773" s="1"/>
      <c r="B773" s="1"/>
      <c r="C773" s="8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>
      <c r="A774" s="1"/>
      <c r="B774" s="1"/>
      <c r="C774" s="8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>
      <c r="A775" s="1"/>
      <c r="B775" s="1"/>
      <c r="C775" s="8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>
      <c r="A776" s="1"/>
      <c r="B776" s="1"/>
      <c r="C776" s="8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>
      <c r="A777" s="1"/>
      <c r="B777" s="1"/>
      <c r="C777" s="8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>
      <c r="A778" s="1"/>
      <c r="B778" s="1"/>
      <c r="C778" s="8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>
      <c r="A779" s="1"/>
      <c r="B779" s="1"/>
      <c r="C779" s="8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>
      <c r="A780" s="1"/>
      <c r="B780" s="1"/>
      <c r="C780" s="8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>
      <c r="A781" s="1"/>
      <c r="B781" s="1"/>
      <c r="C781" s="8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>
      <c r="A782" s="1"/>
      <c r="B782" s="1"/>
      <c r="C782" s="8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>
      <c r="A783" s="1"/>
      <c r="B783" s="1"/>
      <c r="C783" s="8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>
      <c r="A784" s="1"/>
      <c r="B784" s="1"/>
      <c r="C784" s="8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>
      <c r="A785" s="1"/>
      <c r="B785" s="1"/>
      <c r="C785" s="8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>
      <c r="A786" s="1"/>
      <c r="B786" s="1"/>
      <c r="C786" s="8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>
      <c r="A787" s="1"/>
      <c r="B787" s="1"/>
      <c r="C787" s="8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>
      <c r="A788" s="1"/>
      <c r="B788" s="1"/>
      <c r="C788" s="8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>
      <c r="A789" s="1"/>
      <c r="B789" s="1"/>
      <c r="C789" s="8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>
      <c r="A790" s="1"/>
      <c r="B790" s="1"/>
      <c r="C790" s="8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>
      <c r="A791" s="1"/>
      <c r="B791" s="1"/>
      <c r="C791" s="8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>
      <c r="A792" s="1"/>
      <c r="B792" s="1"/>
      <c r="C792" s="8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>
      <c r="A793" s="1"/>
      <c r="B793" s="1"/>
      <c r="C793" s="8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>
      <c r="A794" s="1"/>
      <c r="B794" s="1"/>
      <c r="C794" s="8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>
      <c r="A795" s="1"/>
      <c r="B795" s="1"/>
      <c r="C795" s="8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>
      <c r="A796" s="1"/>
      <c r="B796" s="1"/>
      <c r="C796" s="8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>
      <c r="A797" s="1"/>
      <c r="B797" s="1"/>
      <c r="C797" s="8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>
      <c r="A798" s="1"/>
      <c r="B798" s="1"/>
      <c r="C798" s="8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>
      <c r="A799" s="1"/>
      <c r="B799" s="1"/>
      <c r="C799" s="8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>
      <c r="A800" s="1"/>
      <c r="B800" s="1"/>
      <c r="C800" s="8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>
      <c r="A801" s="1"/>
      <c r="B801" s="1"/>
      <c r="C801" s="8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>
      <c r="A802" s="1"/>
      <c r="B802" s="1"/>
      <c r="C802" s="8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>
      <c r="A803" s="1"/>
      <c r="B803" s="1"/>
      <c r="C803" s="8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>
      <c r="A804" s="1"/>
      <c r="B804" s="1"/>
      <c r="C804" s="8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>
      <c r="A805" s="1"/>
      <c r="B805" s="1"/>
      <c r="C805" s="8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>
      <c r="A806" s="1"/>
      <c r="B806" s="1"/>
      <c r="C806" s="8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>
      <c r="A807" s="1"/>
      <c r="B807" s="1"/>
      <c r="C807" s="8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>
      <c r="A808" s="1"/>
      <c r="B808" s="1"/>
      <c r="C808" s="8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>
      <c r="A809" s="1"/>
      <c r="B809" s="1"/>
      <c r="C809" s="8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>
      <c r="A810" s="1"/>
      <c r="B810" s="1"/>
      <c r="C810" s="8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>
      <c r="A811" s="1"/>
      <c r="B811" s="1"/>
      <c r="C811" s="8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>
      <c r="A812" s="1"/>
      <c r="B812" s="1"/>
      <c r="C812" s="8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>
      <c r="A813" s="1"/>
      <c r="B813" s="1"/>
      <c r="C813" s="8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>
      <c r="A814" s="1"/>
      <c r="B814" s="1"/>
      <c r="C814" s="8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>
      <c r="A815" s="1"/>
      <c r="B815" s="1"/>
      <c r="C815" s="8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>
      <c r="A816" s="1"/>
      <c r="B816" s="1"/>
      <c r="C816" s="8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>
      <c r="A817" s="1"/>
      <c r="B817" s="1"/>
      <c r="C817" s="8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>
      <c r="A818" s="1"/>
      <c r="B818" s="1"/>
      <c r="C818" s="8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>
      <c r="A819" s="1"/>
      <c r="B819" s="1"/>
      <c r="C819" s="8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>
      <c r="A820" s="1"/>
      <c r="B820" s="1"/>
      <c r="C820" s="8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>
      <c r="A821" s="1"/>
      <c r="B821" s="1"/>
      <c r="C821" s="8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>
      <c r="A822" s="1"/>
      <c r="B822" s="1"/>
      <c r="C822" s="8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>
      <c r="A823" s="1"/>
      <c r="B823" s="1"/>
      <c r="C823" s="8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>
      <c r="A824" s="1"/>
      <c r="B824" s="1"/>
      <c r="C824" s="8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>
      <c r="A825" s="1"/>
      <c r="B825" s="1"/>
      <c r="C825" s="8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>
      <c r="A826" s="1"/>
      <c r="B826" s="1"/>
      <c r="C826" s="8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>
      <c r="A827" s="1"/>
      <c r="B827" s="1"/>
      <c r="C827" s="8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>
      <c r="A828" s="1"/>
      <c r="B828" s="1"/>
      <c r="C828" s="8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>
      <c r="A829" s="1"/>
      <c r="B829" s="1"/>
      <c r="C829" s="8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>
      <c r="A830" s="1"/>
      <c r="B830" s="1"/>
      <c r="C830" s="8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>
      <c r="A831" s="1"/>
      <c r="B831" s="1"/>
      <c r="C831" s="8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>
      <c r="A832" s="1"/>
      <c r="B832" s="1"/>
      <c r="C832" s="8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>
      <c r="A833" s="1"/>
      <c r="B833" s="1"/>
      <c r="C833" s="8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>
      <c r="A834" s="1"/>
      <c r="B834" s="1"/>
      <c r="C834" s="8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>
      <c r="A835" s="1"/>
      <c r="B835" s="1"/>
      <c r="C835" s="8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>
      <c r="A836" s="1"/>
      <c r="B836" s="1"/>
      <c r="C836" s="8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>
      <c r="A837" s="1"/>
      <c r="B837" s="1"/>
      <c r="C837" s="8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>
      <c r="A838" s="1"/>
      <c r="B838" s="1"/>
      <c r="C838" s="8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>
      <c r="A839" s="1"/>
      <c r="B839" s="1"/>
      <c r="C839" s="8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>
      <c r="A840" s="1"/>
      <c r="B840" s="1"/>
      <c r="C840" s="8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>
      <c r="A841" s="1"/>
      <c r="B841" s="1"/>
      <c r="C841" s="8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>
      <c r="A842" s="1"/>
      <c r="B842" s="1"/>
      <c r="C842" s="8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>
      <c r="A843" s="1"/>
      <c r="B843" s="1"/>
      <c r="C843" s="8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>
      <c r="A844" s="1"/>
      <c r="B844" s="1"/>
      <c r="C844" s="8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>
      <c r="A845" s="1"/>
      <c r="B845" s="1"/>
      <c r="C845" s="8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>
      <c r="A846" s="1"/>
      <c r="B846" s="1"/>
      <c r="C846" s="8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>
      <c r="A847" s="1"/>
      <c r="B847" s="1"/>
      <c r="C847" s="8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>
      <c r="A848" s="1"/>
      <c r="B848" s="1"/>
      <c r="C848" s="8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>
      <c r="A849" s="1"/>
      <c r="B849" s="1"/>
      <c r="C849" s="8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>
      <c r="A850" s="1"/>
      <c r="B850" s="1"/>
      <c r="C850" s="8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>
      <c r="A851" s="1"/>
      <c r="B851" s="1"/>
      <c r="C851" s="8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>
      <c r="A852" s="1"/>
      <c r="B852" s="1"/>
      <c r="C852" s="8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>
      <c r="A853" s="1"/>
      <c r="B853" s="1"/>
      <c r="C853" s="8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>
      <c r="A854" s="1"/>
      <c r="B854" s="1"/>
      <c r="C854" s="8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>
      <c r="A855" s="1"/>
      <c r="B855" s="1"/>
      <c r="C855" s="8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>
      <c r="A856" s="1"/>
      <c r="B856" s="1"/>
      <c r="C856" s="8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>
      <c r="A857" s="1"/>
      <c r="B857" s="1"/>
      <c r="C857" s="8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>
      <c r="A858" s="1"/>
      <c r="B858" s="1"/>
      <c r="C858" s="8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>
      <c r="A859" s="1"/>
      <c r="B859" s="1"/>
      <c r="C859" s="8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>
      <c r="A860" s="1"/>
      <c r="B860" s="1"/>
      <c r="C860" s="8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>
      <c r="A861" s="1"/>
      <c r="B861" s="1"/>
      <c r="C861" s="8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>
      <c r="A862" s="1"/>
      <c r="B862" s="1"/>
      <c r="C862" s="8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>
      <c r="A863" s="1"/>
      <c r="B863" s="1"/>
      <c r="C863" s="8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>
      <c r="A864" s="1"/>
      <c r="B864" s="1"/>
      <c r="C864" s="8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>
      <c r="A865" s="1"/>
      <c r="B865" s="1"/>
      <c r="C865" s="8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>
      <c r="A866" s="1"/>
      <c r="B866" s="1"/>
      <c r="C866" s="8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>
      <c r="A867" s="1"/>
      <c r="B867" s="1"/>
      <c r="C867" s="8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>
      <c r="A868" s="1"/>
      <c r="B868" s="1"/>
      <c r="C868" s="8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>
      <c r="A869" s="1"/>
      <c r="B869" s="1"/>
      <c r="C869" s="8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>
      <c r="A870" s="1"/>
      <c r="B870" s="1"/>
      <c r="C870" s="8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>
      <c r="A871" s="1"/>
      <c r="B871" s="1"/>
      <c r="C871" s="8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>
      <c r="A872" s="1"/>
      <c r="B872" s="1"/>
      <c r="C872" s="8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>
      <c r="A873" s="1"/>
      <c r="B873" s="1"/>
      <c r="C873" s="8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>
      <c r="A874" s="1"/>
      <c r="B874" s="1"/>
      <c r="C874" s="8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>
      <c r="A875" s="1"/>
      <c r="B875" s="1"/>
      <c r="C875" s="8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>
      <c r="A876" s="1"/>
      <c r="B876" s="1"/>
      <c r="C876" s="8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>
      <c r="A877" s="1"/>
      <c r="B877" s="1"/>
      <c r="C877" s="8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>
      <c r="A878" s="1"/>
      <c r="B878" s="1"/>
      <c r="C878" s="8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>
      <c r="A879" s="1"/>
      <c r="B879" s="1"/>
      <c r="C879" s="8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>
      <c r="A880" s="1"/>
      <c r="B880" s="1"/>
      <c r="C880" s="8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>
      <c r="A881" s="1"/>
      <c r="B881" s="1"/>
      <c r="C881" s="8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>
      <c r="A882" s="1"/>
      <c r="B882" s="1"/>
      <c r="C882" s="8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>
      <c r="A883" s="1"/>
      <c r="B883" s="1"/>
      <c r="C883" s="8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>
      <c r="A884" s="1"/>
      <c r="B884" s="1"/>
      <c r="C884" s="8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>
      <c r="A885" s="1"/>
      <c r="B885" s="1"/>
      <c r="C885" s="8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>
      <c r="A886" s="1"/>
      <c r="B886" s="1"/>
      <c r="C886" s="8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>
      <c r="A887" s="1"/>
      <c r="B887" s="1"/>
      <c r="C887" s="8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>
      <c r="A888" s="1"/>
      <c r="B888" s="1"/>
      <c r="C888" s="8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>
      <c r="A889" s="1"/>
      <c r="B889" s="1"/>
      <c r="C889" s="8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>
      <c r="A890" s="1"/>
      <c r="B890" s="1"/>
      <c r="C890" s="8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>
      <c r="A891" s="1"/>
      <c r="B891" s="1"/>
      <c r="C891" s="8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>
      <c r="A892" s="1"/>
      <c r="B892" s="1"/>
      <c r="C892" s="8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>
      <c r="A893" s="1"/>
      <c r="B893" s="1"/>
      <c r="C893" s="8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>
      <c r="A894" s="1"/>
      <c r="B894" s="1"/>
      <c r="C894" s="8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>
      <c r="A895" s="1"/>
      <c r="B895" s="1"/>
      <c r="C895" s="8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>
      <c r="A896" s="1"/>
      <c r="B896" s="1"/>
      <c r="C896" s="8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>
      <c r="A897" s="1"/>
      <c r="B897" s="1"/>
      <c r="C897" s="8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>
      <c r="A898" s="1"/>
      <c r="B898" s="1"/>
      <c r="C898" s="8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>
      <c r="A899" s="1"/>
      <c r="B899" s="1"/>
      <c r="C899" s="8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>
      <c r="A900" s="1"/>
      <c r="B900" s="1"/>
      <c r="C900" s="8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>
      <c r="A901" s="1"/>
      <c r="B901" s="1"/>
      <c r="C901" s="8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>
      <c r="A902" s="1"/>
      <c r="B902" s="1"/>
      <c r="C902" s="8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>
      <c r="A903" s="1"/>
      <c r="B903" s="1"/>
      <c r="C903" s="8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>
      <c r="A904" s="1"/>
      <c r="B904" s="1"/>
      <c r="C904" s="8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>
      <c r="A905" s="1"/>
      <c r="B905" s="1"/>
      <c r="C905" s="8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>
      <c r="A906" s="1"/>
      <c r="B906" s="1"/>
      <c r="C906" s="8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>
      <c r="A907" s="1"/>
      <c r="B907" s="1"/>
      <c r="C907" s="8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>
      <c r="A908" s="1"/>
      <c r="B908" s="1"/>
      <c r="C908" s="8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>
      <c r="A909" s="1"/>
      <c r="B909" s="1"/>
      <c r="C909" s="8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>
      <c r="A910" s="1"/>
      <c r="B910" s="1"/>
      <c r="C910" s="8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>
      <c r="A911" s="1"/>
      <c r="B911" s="1"/>
      <c r="C911" s="8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>
      <c r="A912" s="1"/>
      <c r="B912" s="1"/>
      <c r="C912" s="8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>
      <c r="A913" s="1"/>
      <c r="B913" s="1"/>
      <c r="C913" s="8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>
      <c r="A914" s="1"/>
      <c r="B914" s="1"/>
      <c r="C914" s="8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>
      <c r="A915" s="1"/>
      <c r="B915" s="1"/>
      <c r="C915" s="8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>
      <c r="A916" s="1"/>
      <c r="B916" s="1"/>
      <c r="C916" s="8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>
      <c r="A917" s="1"/>
      <c r="B917" s="1"/>
      <c r="C917" s="8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>
      <c r="A918" s="1"/>
      <c r="B918" s="1"/>
      <c r="C918" s="8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>
      <c r="A919" s="1"/>
      <c r="B919" s="1"/>
      <c r="C919" s="8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>
      <c r="A920" s="1"/>
      <c r="B920" s="1"/>
      <c r="C920" s="8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>
      <c r="A921" s="1"/>
      <c r="B921" s="1"/>
      <c r="C921" s="8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>
      <c r="A922" s="1"/>
      <c r="B922" s="1"/>
      <c r="C922" s="8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>
      <c r="A923" s="1"/>
      <c r="B923" s="1"/>
      <c r="C923" s="8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>
      <c r="A924" s="1"/>
      <c r="B924" s="1"/>
      <c r="C924" s="8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>
      <c r="A925" s="1"/>
      <c r="B925" s="1"/>
      <c r="C925" s="8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>
      <c r="A926" s="1"/>
      <c r="B926" s="1"/>
      <c r="C926" s="8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>
      <c r="A927" s="1"/>
      <c r="B927" s="1"/>
      <c r="C927" s="8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>
      <c r="A928" s="1"/>
      <c r="B928" s="1"/>
      <c r="C928" s="8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>
      <c r="A929" s="1"/>
      <c r="B929" s="1"/>
      <c r="C929" s="8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>
      <c r="A930" s="1"/>
      <c r="B930" s="1"/>
      <c r="C930" s="8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>
      <c r="A931" s="1"/>
      <c r="B931" s="1"/>
      <c r="C931" s="8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>
      <c r="A932" s="1"/>
      <c r="B932" s="1"/>
      <c r="C932" s="8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>
      <c r="A933" s="1"/>
      <c r="B933" s="1"/>
      <c r="C933" s="8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>
      <c r="A934" s="1"/>
      <c r="B934" s="1"/>
      <c r="C934" s="8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>
      <c r="A935" s="1"/>
      <c r="B935" s="1"/>
      <c r="C935" s="8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>
      <c r="A936" s="1"/>
      <c r="B936" s="1"/>
      <c r="C936" s="8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>
      <c r="A937" s="1"/>
      <c r="B937" s="1"/>
      <c r="C937" s="8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>
      <c r="A938" s="1"/>
      <c r="B938" s="1"/>
      <c r="C938" s="8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>
      <c r="A939" s="1"/>
      <c r="B939" s="1"/>
      <c r="C939" s="8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>
      <c r="A940" s="1"/>
      <c r="B940" s="1"/>
      <c r="C940" s="8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>
      <c r="A941" s="1"/>
      <c r="B941" s="1"/>
      <c r="C941" s="8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>
      <c r="A942" s="1"/>
      <c r="B942" s="1"/>
      <c r="C942" s="8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>
      <c r="A943" s="1"/>
      <c r="B943" s="1"/>
      <c r="C943" s="8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>
      <c r="A944" s="1"/>
      <c r="B944" s="1"/>
      <c r="C944" s="8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>
      <c r="A945" s="1"/>
      <c r="B945" s="1"/>
      <c r="C945" s="8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>
      <c r="A946" s="1"/>
      <c r="B946" s="1"/>
      <c r="C946" s="8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>
      <c r="A947" s="1"/>
      <c r="B947" s="1"/>
      <c r="C947" s="8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>
      <c r="A948" s="1"/>
      <c r="B948" s="1"/>
      <c r="C948" s="8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>
      <c r="A949" s="1"/>
      <c r="B949" s="1"/>
      <c r="C949" s="8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>
      <c r="A950" s="1"/>
      <c r="B950" s="1"/>
      <c r="C950" s="8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>
      <c r="A951" s="1"/>
      <c r="B951" s="1"/>
      <c r="C951" s="8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>
      <c r="A952" s="1"/>
      <c r="B952" s="1"/>
      <c r="C952" s="8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>
      <c r="A953" s="1"/>
      <c r="B953" s="1"/>
      <c r="C953" s="8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>
      <c r="A954" s="1"/>
      <c r="B954" s="1"/>
      <c r="C954" s="8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>
      <c r="A955" s="1"/>
      <c r="B955" s="1"/>
      <c r="C955" s="8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>
      <c r="A956" s="1"/>
      <c r="B956" s="1"/>
      <c r="C956" s="8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>
      <c r="A957" s="1"/>
      <c r="B957" s="1"/>
      <c r="C957" s="8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>
      <c r="A958" s="1"/>
      <c r="B958" s="1"/>
      <c r="C958" s="8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>
      <c r="A959" s="1"/>
      <c r="B959" s="1"/>
      <c r="C959" s="8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>
      <c r="A960" s="1"/>
      <c r="B960" s="1"/>
      <c r="C960" s="8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>
      <c r="A961" s="1"/>
      <c r="B961" s="1"/>
      <c r="C961" s="8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>
      <c r="A962" s="1"/>
      <c r="B962" s="1"/>
      <c r="C962" s="8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>
      <c r="A963" s="1"/>
      <c r="B963" s="1"/>
      <c r="C963" s="8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>
      <c r="A964" s="1"/>
      <c r="B964" s="1"/>
      <c r="C964" s="8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>
      <c r="A965" s="1"/>
      <c r="B965" s="1"/>
      <c r="C965" s="8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>
      <c r="A966" s="1"/>
      <c r="B966" s="1"/>
      <c r="C966" s="8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>
      <c r="A967" s="1"/>
      <c r="B967" s="1"/>
      <c r="C967" s="8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>
      <c r="A968" s="1"/>
      <c r="B968" s="1"/>
      <c r="C968" s="8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>
      <c r="A969" s="1"/>
      <c r="B969" s="1"/>
      <c r="C969" s="8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>
      <c r="A970" s="1"/>
      <c r="B970" s="1"/>
      <c r="C970" s="8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>
      <c r="A971" s="1"/>
      <c r="B971" s="1"/>
      <c r="C971" s="8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>
      <c r="A972" s="1"/>
      <c r="B972" s="1"/>
      <c r="C972" s="8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>
      <c r="A973" s="1"/>
      <c r="B973" s="1"/>
      <c r="C973" s="8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>
      <c r="A974" s="1"/>
      <c r="B974" s="1"/>
      <c r="C974" s="8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>
      <c r="A975" s="1"/>
      <c r="B975" s="1"/>
      <c r="C975" s="8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>
      <c r="A976" s="1"/>
      <c r="B976" s="1"/>
      <c r="C976" s="8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>
      <c r="A977" s="1"/>
      <c r="B977" s="1"/>
      <c r="C977" s="8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>
      <c r="A978" s="1"/>
      <c r="B978" s="1"/>
      <c r="C978" s="8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>
      <c r="A979" s="1"/>
      <c r="B979" s="1"/>
      <c r="C979" s="8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>
      <c r="A980" s="1"/>
      <c r="B980" s="1"/>
      <c r="C980" s="8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>
      <c r="A981" s="1"/>
      <c r="B981" s="1"/>
      <c r="C981" s="8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>
      <c r="A982" s="1"/>
      <c r="B982" s="1"/>
      <c r="C982" s="8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>
      <c r="A983" s="1"/>
      <c r="B983" s="1"/>
      <c r="C983" s="8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>
      <c r="A984" s="1"/>
      <c r="B984" s="1"/>
      <c r="C984" s="8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>
      <c r="A985" s="1"/>
      <c r="B985" s="1"/>
      <c r="C985" s="8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>
      <c r="A986" s="1"/>
      <c r="B986" s="1"/>
      <c r="C986" s="8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>
      <c r="A987" s="1"/>
      <c r="B987" s="1"/>
      <c r="C987" s="8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>
      <c r="A988" s="1"/>
      <c r="B988" s="1"/>
      <c r="C988" s="8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>
      <c r="A989" s="1"/>
      <c r="B989" s="1"/>
      <c r="C989" s="8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>
      <c r="A990" s="1"/>
      <c r="B990" s="1"/>
      <c r="C990" s="8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>
      <c r="A991" s="1"/>
      <c r="B991" s="1"/>
      <c r="C991" s="8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>
      <c r="A992" s="1"/>
      <c r="B992" s="1"/>
      <c r="C992" s="8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>
      <c r="A993" s="1"/>
      <c r="B993" s="1"/>
      <c r="C993" s="8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>
      <c r="A994" s="1"/>
      <c r="B994" s="1"/>
      <c r="C994" s="8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>
      <c r="A995" s="1"/>
      <c r="B995" s="1"/>
      <c r="C995" s="8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>
      <c r="A996" s="1"/>
      <c r="B996" s="1"/>
      <c r="C996" s="8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>
      <c r="A997" s="1"/>
      <c r="B997" s="1"/>
      <c r="C997" s="8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>
      <c r="A998" s="1"/>
      <c r="B998" s="1"/>
      <c r="C998" s="8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>
      <c r="A999" s="1"/>
      <c r="B999" s="1"/>
      <c r="C999" s="8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>
      <c r="A1000" s="1"/>
      <c r="B1000" s="1"/>
      <c r="C1000" s="8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>
      <c r="A1001" s="1"/>
      <c r="B1001" s="1"/>
      <c r="C1001" s="8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>
      <c r="A1002" s="1"/>
      <c r="B1002" s="1"/>
      <c r="C1002" s="8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>
      <c r="A1003" s="1"/>
      <c r="B1003" s="1"/>
      <c r="C1003" s="8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>
      <c r="A1004" s="1"/>
      <c r="B1004" s="1"/>
      <c r="C1004" s="8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>
      <c r="A1005" s="1"/>
      <c r="B1005" s="1"/>
      <c r="C1005" s="8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>
      <c r="A1006" s="1"/>
      <c r="B1006" s="1"/>
      <c r="C1006" s="8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>
      <c r="A1007" s="1"/>
      <c r="B1007" s="1"/>
      <c r="C1007" s="8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:42">
      <c r="A1008" s="1"/>
      <c r="B1008" s="1"/>
      <c r="C1008" s="8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1:42">
      <c r="A1009" s="1"/>
      <c r="B1009" s="1"/>
      <c r="C1009" s="8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1:42">
      <c r="A1010" s="1"/>
      <c r="B1010" s="1"/>
      <c r="C1010" s="8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1:42">
      <c r="A1011" s="1"/>
      <c r="B1011" s="1"/>
      <c r="C1011" s="8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1:42">
      <c r="A1012" s="1"/>
      <c r="B1012" s="1"/>
      <c r="C1012" s="8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1:42">
      <c r="A1013" s="1"/>
      <c r="B1013" s="1"/>
      <c r="C1013" s="8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1:42">
      <c r="A1014" s="1"/>
      <c r="B1014" s="1"/>
      <c r="C1014" s="8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1:42">
      <c r="A1015" s="1"/>
      <c r="B1015" s="1"/>
      <c r="C1015" s="8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1:42">
      <c r="A1016" s="1"/>
      <c r="B1016" s="1"/>
      <c r="C1016" s="8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1:42">
      <c r="A1017" s="1"/>
      <c r="B1017" s="1"/>
      <c r="C1017" s="8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1:42">
      <c r="A1018" s="1"/>
      <c r="B1018" s="1"/>
      <c r="C1018" s="8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1:42">
      <c r="A1019" s="1"/>
      <c r="B1019" s="1"/>
      <c r="C1019" s="8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1:42">
      <c r="A1020" s="1"/>
      <c r="B1020" s="1"/>
      <c r="C1020" s="8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1:42">
      <c r="A1021" s="1"/>
      <c r="B1021" s="1"/>
      <c r="C1021" s="8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1:42">
      <c r="A1022" s="1"/>
      <c r="B1022" s="1"/>
      <c r="C1022" s="8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1:42">
      <c r="A1023" s="1"/>
      <c r="B1023" s="1"/>
      <c r="C1023" s="8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1:42">
      <c r="A1024" s="1"/>
      <c r="B1024" s="1"/>
      <c r="C1024" s="8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1:42">
      <c r="A1025" s="1"/>
      <c r="B1025" s="1"/>
      <c r="C1025" s="8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1:42">
      <c r="A1026" s="1"/>
      <c r="B1026" s="1"/>
      <c r="C1026" s="8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1:42">
      <c r="A1027" s="1"/>
      <c r="B1027" s="1"/>
      <c r="C1027" s="8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1:42">
      <c r="A1028" s="1"/>
      <c r="B1028" s="1"/>
      <c r="C1028" s="8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1:42">
      <c r="A1029" s="1"/>
      <c r="B1029" s="1"/>
      <c r="C1029" s="8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1:42">
      <c r="A1030" s="1"/>
      <c r="B1030" s="1"/>
      <c r="C1030" s="8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1:42">
      <c r="A1031" s="1"/>
      <c r="B1031" s="1"/>
      <c r="C1031" s="8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1:42">
      <c r="A1032" s="1"/>
      <c r="B1032" s="1"/>
      <c r="C1032" s="8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1:42">
      <c r="A1033" s="1"/>
      <c r="B1033" s="1"/>
      <c r="C1033" s="8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1:42">
      <c r="A1034" s="1"/>
      <c r="B1034" s="1"/>
      <c r="C1034" s="8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pans="1:42">
      <c r="A1035" s="1"/>
      <c r="B1035" s="1"/>
      <c r="C1035" s="8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1:42">
      <c r="A1036" s="1"/>
      <c r="B1036" s="1"/>
      <c r="C1036" s="8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1:42">
      <c r="A1037" s="1"/>
      <c r="B1037" s="1"/>
      <c r="C1037" s="8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1:42">
      <c r="A1038" s="1"/>
      <c r="B1038" s="1"/>
      <c r="C1038" s="8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1:42">
      <c r="A1039" s="1"/>
      <c r="B1039" s="1"/>
      <c r="C1039" s="8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1:42">
      <c r="A1040" s="1"/>
      <c r="B1040" s="1"/>
      <c r="C1040" s="8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1:42">
      <c r="A1041" s="1"/>
      <c r="B1041" s="1"/>
      <c r="C1041" s="8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1:42">
      <c r="A1042" s="1"/>
      <c r="B1042" s="1"/>
      <c r="C1042" s="8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1:42">
      <c r="A1043" s="1"/>
      <c r="B1043" s="1"/>
      <c r="C1043" s="8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1:42">
      <c r="A1044" s="1"/>
      <c r="B1044" s="1"/>
      <c r="C1044" s="8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1:42">
      <c r="A1045" s="1"/>
      <c r="B1045" s="1"/>
      <c r="C1045" s="8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1:42">
      <c r="A1046" s="1"/>
      <c r="B1046" s="1"/>
      <c r="C1046" s="8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1:42">
      <c r="A1047" s="1"/>
      <c r="B1047" s="1"/>
      <c r="C1047" s="8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1:42">
      <c r="A1048" s="1"/>
      <c r="B1048" s="1"/>
      <c r="C1048" s="8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1:42">
      <c r="A1049" s="1"/>
      <c r="B1049" s="1"/>
      <c r="C1049" s="8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1:42">
      <c r="A1050" s="1"/>
      <c r="B1050" s="1"/>
      <c r="C1050" s="8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1:42">
      <c r="A1051" s="1"/>
      <c r="B1051" s="1"/>
      <c r="C1051" s="8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1:42">
      <c r="A1052" s="1"/>
      <c r="B1052" s="1"/>
      <c r="C1052" s="8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1:42">
      <c r="A1053" s="1"/>
      <c r="B1053" s="1"/>
      <c r="C1053" s="8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1:42">
      <c r="A1054" s="1"/>
      <c r="B1054" s="1"/>
      <c r="C1054" s="8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1:42">
      <c r="A1055" s="1"/>
      <c r="B1055" s="1"/>
      <c r="C1055" s="8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1:42">
      <c r="A1056" s="1"/>
      <c r="B1056" s="1"/>
      <c r="C1056" s="8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1:42">
      <c r="A1057" s="1"/>
      <c r="B1057" s="1"/>
      <c r="C1057" s="8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</sheetData>
  <autoFilter ref="A12:AA284" xr:uid="{BDCA1DBC-F17C-4D1C-847E-4F4737CE42B9}"/>
  <mergeCells count="32">
    <mergeCell ref="A177:B177"/>
    <mergeCell ref="A139:B139"/>
    <mergeCell ref="A149:B149"/>
    <mergeCell ref="A155:B155"/>
    <mergeCell ref="A1:F1"/>
    <mergeCell ref="A2:F2"/>
    <mergeCell ref="A3:F3"/>
    <mergeCell ref="A4:F4"/>
    <mergeCell ref="A6:F6"/>
    <mergeCell ref="A5:F5"/>
    <mergeCell ref="A10:F10"/>
    <mergeCell ref="A9:B9"/>
    <mergeCell ref="C9:F9"/>
    <mergeCell ref="A7:B7"/>
    <mergeCell ref="C7:F7"/>
    <mergeCell ref="A8:F8"/>
    <mergeCell ref="A157:B157"/>
    <mergeCell ref="A159:B159"/>
    <mergeCell ref="Q283:R283"/>
    <mergeCell ref="Q284:R284"/>
    <mergeCell ref="A11:AA11"/>
    <mergeCell ref="A197:B197"/>
    <mergeCell ref="A199:B199"/>
    <mergeCell ref="A179:B179"/>
    <mergeCell ref="A183:B183"/>
    <mergeCell ref="A186:B186"/>
    <mergeCell ref="A190:B190"/>
    <mergeCell ref="A192:B192"/>
    <mergeCell ref="A165:B165"/>
    <mergeCell ref="A168:B168"/>
    <mergeCell ref="A170:B170"/>
    <mergeCell ref="A172:B17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TAB. 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2023-08-03T18:52:25Z</dcterms:created>
  <dcterms:modified xsi:type="dcterms:W3CDTF">2025-11-25T11:35:17Z</dcterms:modified>
</cp:coreProperties>
</file>